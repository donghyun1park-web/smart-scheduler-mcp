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사용안내" sheetId="1" state="visible" r:id="rId1"/>
    <sheet name="1.건축담당" sheetId="2" state="visible" r:id="rId2"/>
    <sheet name="2.설비담당" sheetId="3" state="visible" r:id="rId3"/>
    <sheet name="3.자재담당" sheetId="4" state="visible" r:id="rId4"/>
    <sheet name="4.안전담당" sheetId="5" state="visible" r:id="rId5"/>
    <sheet name="5.품질담당" sheetId="6" state="visible" r:id="rId6"/>
    <sheet name="6.종합_소장확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현장 담당자별 일일 입력 양식</t>
        </is>
      </c>
    </row>
    <row r="3"/>
    <row r="5">
      <c r="B5" s="2" t="inlineStr">
        <is>
          <t>프로젝트명</t>
        </is>
      </c>
      <c r="C5" s="3" t="inlineStr">
        <is>
          <t>홍은동 355번지 가로주택정비사업</t>
        </is>
      </c>
    </row>
    <row r="6">
      <c r="B6" s="2" t="inlineStr">
        <is>
          <t>현장주소</t>
        </is>
      </c>
      <c r="C6" s="3" t="inlineStr">
        <is>
          <t>서울시 서대문구 홍은동 355</t>
        </is>
      </c>
    </row>
    <row r="7">
      <c r="B7" s="2" t="inlineStr">
        <is>
          <t>작성일</t>
        </is>
      </c>
      <c r="C7" s="3" t="inlineStr">
        <is>
          <t>2028-06-15 (목)</t>
        </is>
      </c>
    </row>
    <row r="8">
      <c r="B8" s="2" t="inlineStr">
        <is>
          <t>공사기간</t>
        </is>
      </c>
      <c r="C8" s="3" t="inlineStr">
        <is>
          <t>2028-01-01 ~ 2029-06-30 (18개월)</t>
        </is>
      </c>
    </row>
    <row r="10">
      <c r="B10" s="4" t="inlineStr">
        <is>
          <t>📑 시트 구성</t>
        </is>
      </c>
    </row>
    <row r="11">
      <c r="B11" s="2" t="inlineStr">
        <is>
          <t>시트명</t>
        </is>
      </c>
      <c r="C11" s="2" t="inlineStr">
        <is>
          <t>입력 내용</t>
        </is>
      </c>
      <c r="E11" s="2" t="inlineStr">
        <is>
          <t>마감시간</t>
        </is>
      </c>
    </row>
    <row r="12">
      <c r="B12" s="3" t="inlineStr">
        <is>
          <t>1. 건축담당 일보</t>
        </is>
      </c>
      <c r="C12" s="3" t="inlineStr">
        <is>
          <t>건축공종 시공 실적, 인원/장비, 작업위치, 안전사고</t>
        </is>
      </c>
      <c r="E12" s="3" t="inlineStr">
        <is>
          <t>매일 18:00</t>
        </is>
      </c>
    </row>
    <row r="13">
      <c r="B13" s="3" t="inlineStr">
        <is>
          <t>2. 설비담당 일보</t>
        </is>
      </c>
      <c r="C13" s="3" t="inlineStr">
        <is>
          <t>기계/전기/소방 설비 시공 실적, 자재 사용량</t>
        </is>
      </c>
      <c r="E13" s="3" t="inlineStr">
        <is>
          <t>매일 18:00</t>
        </is>
      </c>
    </row>
    <row r="14">
      <c r="B14" s="3" t="inlineStr">
        <is>
          <t>3. 자재담당 일보</t>
        </is>
      </c>
      <c r="C14" s="3" t="inlineStr">
        <is>
          <t>당일 입출고, 재고 현황, 발주 요청</t>
        </is>
      </c>
      <c r="E14" s="3" t="inlineStr">
        <is>
          <t>매일 17:00</t>
        </is>
      </c>
    </row>
    <row r="15">
      <c r="B15" s="3" t="inlineStr">
        <is>
          <t>4. 안전담당 일보</t>
        </is>
      </c>
      <c r="C15" s="3" t="inlineStr">
        <is>
          <t>TBM, 위험요인, 사고, 보호구 점검, 교육</t>
        </is>
      </c>
      <c r="E15" s="3" t="inlineStr">
        <is>
          <t>매일 09:00/17:00</t>
        </is>
      </c>
    </row>
    <row r="16">
      <c r="B16" s="3" t="inlineStr">
        <is>
          <t>5. 품질담당 일보</t>
        </is>
      </c>
      <c r="C16" s="3" t="inlineStr">
        <is>
          <t>검측 요청/결과, 콘크리트 타설, 시험성적</t>
        </is>
      </c>
      <c r="E16" s="3" t="inlineStr">
        <is>
          <t>매일 18:00</t>
        </is>
      </c>
    </row>
    <row r="17">
      <c r="B17" s="3" t="inlineStr">
        <is>
          <t>6. 종합 (소장확인)</t>
        </is>
      </c>
      <c r="C17" s="3" t="inlineStr">
        <is>
          <t>전체 요약 + 결재란</t>
        </is>
      </c>
      <c r="E17" s="3" t="inlineStr">
        <is>
          <t>매일 19:00</t>
        </is>
      </c>
    </row>
    <row r="19">
      <c r="B19" s="4" t="inlineStr">
        <is>
          <t>✏️ 입력 규칙</t>
        </is>
      </c>
    </row>
    <row r="20">
      <c r="B20" s="3" t="inlineStr">
        <is>
          <t>1. 필수 입력 항목(주황)은 반드시 작성 후 저장</t>
        </is>
      </c>
    </row>
    <row r="21">
      <c r="B21" s="3" t="inlineStr">
        <is>
          <t>2. 선택 입력(연두)은 해당사항 있을 때만 작성</t>
        </is>
      </c>
    </row>
    <row r="22">
      <c r="B22" s="3" t="inlineStr">
        <is>
          <t>3. 회색 셀은 예시 또는 자동계산 - 직접 수정 금지</t>
        </is>
      </c>
    </row>
    <row r="23">
      <c r="B23" s="3" t="inlineStr">
        <is>
          <t>4. 날짜 형식: YYYY-MM-DD (예: 2028-06-15)</t>
        </is>
      </c>
    </row>
    <row r="24">
      <c r="B24" s="3" t="inlineStr">
        <is>
          <t>5. 시간 형식: HH:MM 24시간제 (예: 17:30)</t>
        </is>
      </c>
    </row>
    <row r="25">
      <c r="B25" s="3" t="inlineStr">
        <is>
          <t>6. 인원/물량은 숫자만 입력 (단위는 헤더 참조)</t>
        </is>
      </c>
    </row>
    <row r="26">
      <c r="B26" s="3" t="inlineStr">
        <is>
          <t>7. 특이사항/메모는 간결하게 작성 (50자 이내 권장)</t>
        </is>
      </c>
    </row>
    <row r="27">
      <c r="B27" s="3" t="inlineStr">
        <is>
          <t>8. 모바일 입력은 빨강 별표(*) 필드만 입력 가능</t>
        </is>
      </c>
    </row>
    <row r="30">
      <c r="A30" s="5" t="inlineStr">
        <is>
          <t>■</t>
        </is>
      </c>
      <c r="B30" s="6" t="inlineStr">
        <is>
          <t>필수 입력</t>
        </is>
      </c>
      <c r="D30" s="7" t="inlineStr">
        <is>
          <t>■</t>
        </is>
      </c>
      <c r="E30" s="6" t="inlineStr">
        <is>
          <t>선택 입력</t>
        </is>
      </c>
      <c r="G30" s="8" t="inlineStr">
        <is>
          <t>■</t>
        </is>
      </c>
      <c r="H30" s="6" t="inlineStr">
        <is>
          <t>예시 / 자동계산</t>
        </is>
      </c>
    </row>
  </sheetData>
  <mergeCells count="25">
    <mergeCell ref="E13:G13"/>
    <mergeCell ref="C15:D15"/>
    <mergeCell ref="B23:G23"/>
    <mergeCell ref="C14:D14"/>
    <mergeCell ref="E15:G15"/>
    <mergeCell ref="B19:G19"/>
    <mergeCell ref="B10:G10"/>
    <mergeCell ref="E11:G11"/>
    <mergeCell ref="C16:D16"/>
    <mergeCell ref="E16:G16"/>
    <mergeCell ref="B24:G24"/>
    <mergeCell ref="C12:D12"/>
    <mergeCell ref="B20:G20"/>
    <mergeCell ref="B2:G3"/>
    <mergeCell ref="C11:D11"/>
    <mergeCell ref="E12:G12"/>
    <mergeCell ref="B26:G26"/>
    <mergeCell ref="C17:D17"/>
    <mergeCell ref="B25:G25"/>
    <mergeCell ref="E14:G14"/>
    <mergeCell ref="B22:G22"/>
    <mergeCell ref="B27:G27"/>
    <mergeCell ref="E17:G17"/>
    <mergeCell ref="C13:D13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9" customWidth="1" min="5" max="5"/>
    <col width="6" customWidth="1" min="6" max="6"/>
    <col width="9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9" customWidth="1" min="13" max="13"/>
    <col width="22" customWidth="1" min="14" max="14"/>
  </cols>
  <sheetData>
    <row r="1">
      <c r="A1" s="1" t="inlineStr">
        <is>
          <t>건축담당 일일 작업일보</t>
        </is>
      </c>
    </row>
    <row r="3">
      <c r="A3" s="2" t="inlineStr">
        <is>
          <t>작성자</t>
        </is>
      </c>
      <c r="B3" s="9" t="inlineStr">
        <is>
          <t>건축팀 박과장</t>
        </is>
      </c>
      <c r="D3" s="2" t="inlineStr">
        <is>
          <t>작성일자</t>
        </is>
      </c>
      <c r="E3" s="9" t="inlineStr">
        <is>
          <t>2028-06-15</t>
        </is>
      </c>
      <c r="G3" s="2" t="inlineStr">
        <is>
          <t>날씨(오전)</t>
        </is>
      </c>
      <c r="H3" s="9" t="inlineStr">
        <is>
          <t>맑음</t>
        </is>
      </c>
      <c r="J3" s="2" t="inlineStr">
        <is>
          <t>날씨(오후)</t>
        </is>
      </c>
      <c r="K3" s="9" t="inlineStr">
        <is>
          <t>흐림</t>
        </is>
      </c>
      <c r="M3" s="2" t="inlineStr">
        <is>
          <t>기온</t>
        </is>
      </c>
      <c r="N3" s="9" t="inlineStr">
        <is>
          <t>28°C</t>
        </is>
      </c>
    </row>
    <row r="5">
      <c r="A5" s="4" t="inlineStr">
        <is>
          <t>① 공종별 시공 실적</t>
        </is>
      </c>
    </row>
    <row r="6" ht="30" customHeight="1">
      <c r="A6" s="4" t="inlineStr">
        <is>
          <t>공종/작업명</t>
        </is>
      </c>
      <c r="B6" s="4" t="inlineStr">
        <is>
          <t>작업위치</t>
        </is>
      </c>
      <c r="C6" s="4" t="inlineStr">
        <is>
          <t>협력업체</t>
        </is>
      </c>
      <c r="D6" s="4" t="inlineStr">
        <is>
          <t>계획물량</t>
        </is>
      </c>
      <c r="E6" s="4" t="inlineStr">
        <is>
          <t>실적물량</t>
        </is>
      </c>
      <c r="F6" s="4" t="inlineStr">
        <is>
          <t>단위</t>
        </is>
      </c>
      <c r="G6" s="4" t="inlineStr">
        <is>
          <t>달성률(%)</t>
        </is>
      </c>
      <c r="H6" s="4" t="inlineStr">
        <is>
          <t>목수</t>
        </is>
      </c>
      <c r="I6" s="4" t="inlineStr">
        <is>
          <t>철근</t>
        </is>
      </c>
      <c r="J6" s="4" t="inlineStr">
        <is>
          <t>형틀</t>
        </is>
      </c>
      <c r="K6" s="4" t="inlineStr">
        <is>
          <t>잡부</t>
        </is>
      </c>
      <c r="L6" s="4" t="inlineStr">
        <is>
          <t>총인원</t>
        </is>
      </c>
      <c r="M6" s="4" t="inlineStr">
        <is>
          <t>작업시간(h)</t>
        </is>
      </c>
      <c r="N6" s="4" t="inlineStr">
        <is>
          <t>특이사항</t>
        </is>
      </c>
    </row>
    <row r="7">
      <c r="A7" s="10" t="inlineStr">
        <is>
          <t>골조공사(지하)</t>
        </is>
      </c>
      <c r="B7" s="10" t="inlineStr">
        <is>
          <t>B2층 3~5축</t>
        </is>
      </c>
      <c r="C7" s="10" t="inlineStr">
        <is>
          <t>(주)대한건설</t>
        </is>
      </c>
      <c r="D7" s="10" t="n">
        <v>100</v>
      </c>
      <c r="E7" s="10" t="n">
        <v>95</v>
      </c>
      <c r="F7" s="10" t="inlineStr">
        <is>
          <t>㎡</t>
        </is>
      </c>
      <c r="G7" s="11">
        <f>IF(D7=0,0,E7/D7*100)</f>
        <v/>
      </c>
      <c r="H7" s="10" t="n">
        <v>6</v>
      </c>
      <c r="I7" s="10" t="n">
        <v>5</v>
      </c>
      <c r="J7" s="10" t="n">
        <v>4</v>
      </c>
      <c r="K7" s="10" t="n">
        <v>3</v>
      </c>
      <c r="L7" s="12">
        <f>SUM(H7:K7)</f>
        <v/>
      </c>
      <c r="M7" s="10" t="n">
        <v>7</v>
      </c>
      <c r="N7" s="9" t="inlineStr">
        <is>
          <t>벽체 타설 완료</t>
        </is>
      </c>
    </row>
    <row r="8">
      <c r="A8" s="10" t="inlineStr">
        <is>
          <t>골조공사(지상)</t>
        </is>
      </c>
      <c r="B8" s="10" t="inlineStr">
        <is>
          <t>1층 1~3축</t>
        </is>
      </c>
      <c r="C8" s="10" t="inlineStr">
        <is>
          <t>(주)대한건설</t>
        </is>
      </c>
      <c r="D8" s="10" t="n">
        <v>80</v>
      </c>
      <c r="E8" s="10" t="n">
        <v>60</v>
      </c>
      <c r="F8" s="10" t="inlineStr">
        <is>
          <t>㎡</t>
        </is>
      </c>
      <c r="G8" s="11">
        <f>IF(D8=0,0,E8/D8*100)</f>
        <v/>
      </c>
      <c r="H8" s="10" t="n">
        <v>4</v>
      </c>
      <c r="I8" s="10" t="n">
        <v>4</v>
      </c>
      <c r="J8" s="10" t="n">
        <v>2</v>
      </c>
      <c r="K8" s="10" t="n">
        <v>2</v>
      </c>
      <c r="L8" s="12">
        <f>SUM(H8:K8)</f>
        <v/>
      </c>
      <c r="M8" s="10" t="n">
        <v>7.5</v>
      </c>
      <c r="N8" s="9" t="inlineStr">
        <is>
          <t>기둥 배근 진행중</t>
        </is>
      </c>
    </row>
    <row r="9">
      <c r="A9" s="10" t="n"/>
      <c r="B9" s="10" t="n"/>
      <c r="C9" s="10" t="n"/>
      <c r="D9" s="10" t="n"/>
      <c r="E9" s="10" t="n"/>
      <c r="F9" s="10" t="n"/>
      <c r="G9" s="11">
        <f>IF(D9=0,0,E9/D9*100)</f>
        <v/>
      </c>
      <c r="H9" s="10" t="n"/>
      <c r="I9" s="10" t="n"/>
      <c r="J9" s="10" t="n"/>
      <c r="K9" s="10" t="n"/>
      <c r="L9" s="12">
        <f>SUM(H9:K9)</f>
        <v/>
      </c>
      <c r="M9" s="10" t="n"/>
      <c r="N9" s="9" t="n"/>
    </row>
    <row r="10">
      <c r="A10" s="10" t="n"/>
      <c r="B10" s="10" t="n"/>
      <c r="C10" s="10" t="n"/>
      <c r="D10" s="10" t="n"/>
      <c r="E10" s="10" t="n"/>
      <c r="F10" s="10" t="n"/>
      <c r="G10" s="11">
        <f>IF(D10=0,0,E10/D10*100)</f>
        <v/>
      </c>
      <c r="H10" s="10" t="n"/>
      <c r="I10" s="10" t="n"/>
      <c r="J10" s="10" t="n"/>
      <c r="K10" s="10" t="n"/>
      <c r="L10" s="12">
        <f>SUM(H10:K10)</f>
        <v/>
      </c>
      <c r="M10" s="10" t="n"/>
      <c r="N10" s="9" t="n"/>
    </row>
    <row r="11">
      <c r="A11" s="10" t="n"/>
      <c r="B11" s="10" t="n"/>
      <c r="C11" s="10" t="n"/>
      <c r="D11" s="10" t="n"/>
      <c r="E11" s="10" t="n"/>
      <c r="F11" s="10" t="n"/>
      <c r="G11" s="11">
        <f>IF(D11=0,0,E11/D11*100)</f>
        <v/>
      </c>
      <c r="H11" s="10" t="n"/>
      <c r="I11" s="10" t="n"/>
      <c r="J11" s="10" t="n"/>
      <c r="K11" s="10" t="n"/>
      <c r="L11" s="12">
        <f>SUM(H11:K11)</f>
        <v/>
      </c>
      <c r="M11" s="10" t="n"/>
      <c r="N11" s="9" t="n"/>
    </row>
    <row r="12">
      <c r="A12" s="10" t="n"/>
      <c r="B12" s="10" t="n"/>
      <c r="C12" s="10" t="n"/>
      <c r="D12" s="10" t="n"/>
      <c r="E12" s="10" t="n"/>
      <c r="F12" s="10" t="n"/>
      <c r="G12" s="11">
        <f>IF(D12=0,0,E12/D12*100)</f>
        <v/>
      </c>
      <c r="H12" s="10" t="n"/>
      <c r="I12" s="10" t="n"/>
      <c r="J12" s="10" t="n"/>
      <c r="K12" s="10" t="n"/>
      <c r="L12" s="12">
        <f>SUM(H12:K12)</f>
        <v/>
      </c>
      <c r="M12" s="10" t="n"/>
      <c r="N12" s="9" t="n"/>
    </row>
    <row r="13">
      <c r="A13" s="10" t="n"/>
      <c r="B13" s="10" t="n"/>
      <c r="C13" s="10" t="n"/>
      <c r="D13" s="10" t="n"/>
      <c r="E13" s="10" t="n"/>
      <c r="F13" s="10" t="n"/>
      <c r="G13" s="11">
        <f>IF(D13=0,0,E13/D13*100)</f>
        <v/>
      </c>
      <c r="H13" s="10" t="n"/>
      <c r="I13" s="10" t="n"/>
      <c r="J13" s="10" t="n"/>
      <c r="K13" s="10" t="n"/>
      <c r="L13" s="12">
        <f>SUM(H13:K13)</f>
        <v/>
      </c>
      <c r="M13" s="10" t="n"/>
      <c r="N13" s="9" t="n"/>
    </row>
    <row r="14">
      <c r="A14" s="10" t="n"/>
      <c r="B14" s="10" t="n"/>
      <c r="C14" s="10" t="n"/>
      <c r="D14" s="10" t="n"/>
      <c r="E14" s="10" t="n"/>
      <c r="F14" s="10" t="n"/>
      <c r="G14" s="11">
        <f>IF(D14=0,0,E14/D14*100)</f>
        <v/>
      </c>
      <c r="H14" s="10" t="n"/>
      <c r="I14" s="10" t="n"/>
      <c r="J14" s="10" t="n"/>
      <c r="K14" s="10" t="n"/>
      <c r="L14" s="12">
        <f>SUM(H14:K14)</f>
        <v/>
      </c>
      <c r="M14" s="10" t="n"/>
      <c r="N14" s="9" t="n"/>
    </row>
    <row r="15">
      <c r="A15" s="10" t="n"/>
      <c r="B15" s="10" t="n"/>
      <c r="C15" s="10" t="n"/>
      <c r="D15" s="10" t="n"/>
      <c r="E15" s="10" t="n"/>
      <c r="F15" s="10" t="n"/>
      <c r="G15" s="11">
        <f>IF(D15=0,0,E15/D15*100)</f>
        <v/>
      </c>
      <c r="H15" s="10" t="n"/>
      <c r="I15" s="10" t="n"/>
      <c r="J15" s="10" t="n"/>
      <c r="K15" s="10" t="n"/>
      <c r="L15" s="12">
        <f>SUM(H15:K15)</f>
        <v/>
      </c>
      <c r="M15" s="10" t="n"/>
      <c r="N15" s="9" t="n"/>
    </row>
    <row r="16">
      <c r="A16" s="10" t="n"/>
      <c r="B16" s="10" t="n"/>
      <c r="C16" s="10" t="n"/>
      <c r="D16" s="10" t="n"/>
      <c r="E16" s="10" t="n"/>
      <c r="F16" s="10" t="n"/>
      <c r="G16" s="11">
        <f>IF(D16=0,0,E16/D16*100)</f>
        <v/>
      </c>
      <c r="H16" s="10" t="n"/>
      <c r="I16" s="10" t="n"/>
      <c r="J16" s="10" t="n"/>
      <c r="K16" s="10" t="n"/>
      <c r="L16" s="12">
        <f>SUM(H16:K16)</f>
        <v/>
      </c>
      <c r="M16" s="10" t="n"/>
      <c r="N16" s="9" t="n"/>
    </row>
    <row r="17">
      <c r="A17" s="13" t="inlineStr">
        <is>
          <t>합계</t>
        </is>
      </c>
      <c r="D17" s="13">
        <f>SUM(D7:D16)</f>
        <v/>
      </c>
      <c r="E17" s="13">
        <f>SUM(E7:E16)</f>
        <v/>
      </c>
      <c r="H17" s="13">
        <f>SUM(H7:H16)</f>
        <v/>
      </c>
      <c r="I17" s="13">
        <f>SUM(I7:I16)</f>
        <v/>
      </c>
      <c r="J17" s="13">
        <f>SUM(J7:J16)</f>
        <v/>
      </c>
      <c r="K17" s="13">
        <f>SUM(K7:K16)</f>
        <v/>
      </c>
      <c r="L17" s="13">
        <f>SUM(L7:L16)</f>
        <v/>
      </c>
    </row>
    <row r="19">
      <c r="A19" s="4" t="inlineStr">
        <is>
          <t>② 장비 가동 실적</t>
        </is>
      </c>
    </row>
    <row r="20">
      <c r="A20" s="4" t="inlineStr">
        <is>
          <t>장비명</t>
        </is>
      </c>
      <c r="B20" s="4" t="inlineStr">
        <is>
          <t>가동시간(h)</t>
        </is>
      </c>
      <c r="C20" s="4" t="inlineStr">
        <is>
          <t>가동률(%)</t>
        </is>
      </c>
      <c r="D20" s="4" t="inlineStr">
        <is>
          <t>연료(L)</t>
        </is>
      </c>
      <c r="E20" s="4" t="inlineStr">
        <is>
          <t>정비/고장</t>
        </is>
      </c>
      <c r="F20" s="4" t="inlineStr">
        <is>
          <t>운전원</t>
        </is>
      </c>
    </row>
    <row r="21">
      <c r="A21" s="14" t="inlineStr">
        <is>
          <t>타워크레인 1호</t>
        </is>
      </c>
      <c r="B21" s="14" t="n">
        <v>7.5</v>
      </c>
      <c r="C21" s="11">
        <f>B21/8*100</f>
        <v/>
      </c>
      <c r="D21" s="14" t="n"/>
      <c r="E21" s="15" t="inlineStr">
        <is>
          <t>이상없음</t>
        </is>
      </c>
      <c r="F21" s="14" t="inlineStr">
        <is>
          <t>김기사</t>
        </is>
      </c>
    </row>
    <row r="22">
      <c r="A22" s="14" t="inlineStr">
        <is>
          <t>콘크리트펌프카</t>
        </is>
      </c>
      <c r="B22" s="14" t="n">
        <v>4</v>
      </c>
      <c r="C22" s="11">
        <f>B22/8*100</f>
        <v/>
      </c>
      <c r="D22" s="14" t="n">
        <v>65</v>
      </c>
      <c r="E22" s="15" t="inlineStr">
        <is>
          <t>이상없음</t>
        </is>
      </c>
      <c r="F22" s="14" t="inlineStr">
        <is>
          <t>외주</t>
        </is>
      </c>
    </row>
    <row r="23">
      <c r="A23" s="14" t="n"/>
      <c r="B23" s="14" t="n"/>
      <c r="C23" s="11">
        <f>IF(B23=0,0,B23/8*100)</f>
        <v/>
      </c>
      <c r="D23" s="14" t="n"/>
      <c r="E23" s="15" t="n"/>
      <c r="F23" s="14" t="n"/>
    </row>
    <row r="24">
      <c r="A24" s="14" t="n"/>
      <c r="B24" s="14" t="n"/>
      <c r="C24" s="11">
        <f>IF(B24=0,0,B24/8*100)</f>
        <v/>
      </c>
      <c r="D24" s="14" t="n"/>
      <c r="E24" s="15" t="n"/>
      <c r="F24" s="14" t="n"/>
    </row>
    <row r="25">
      <c r="A25" s="14" t="n"/>
      <c r="B25" s="14" t="n"/>
      <c r="C25" s="11">
        <f>IF(B25=0,0,B25/8*100)</f>
        <v/>
      </c>
      <c r="D25" s="14" t="n"/>
      <c r="E25" s="15" t="n"/>
      <c r="F25" s="14" t="n"/>
    </row>
    <row r="26">
      <c r="A26" s="14" t="n"/>
      <c r="B26" s="14" t="n"/>
      <c r="C26" s="11">
        <f>IF(B26=0,0,B26/8*100)</f>
        <v/>
      </c>
      <c r="D26" s="14" t="n"/>
      <c r="E26" s="15" t="n"/>
      <c r="F26" s="14" t="n"/>
    </row>
    <row r="28">
      <c r="A28" s="4" t="inlineStr">
        <is>
          <t>③ 안전 · 내일 계획</t>
        </is>
      </c>
    </row>
    <row r="29">
      <c r="A29" s="2" t="inlineStr">
        <is>
          <t>안전사고 여부</t>
        </is>
      </c>
      <c r="B29" s="9" t="inlineStr">
        <is>
          <t>이상없음</t>
        </is>
      </c>
      <c r="E29" s="2" t="inlineStr">
        <is>
          <t>TBM 실시</t>
        </is>
      </c>
      <c r="F29" s="9" t="inlineStr">
        <is>
          <t>07:30 실시</t>
        </is>
      </c>
      <c r="H29" s="2" t="inlineStr">
        <is>
          <t>위험요인</t>
        </is>
      </c>
      <c r="I29" s="9" t="inlineStr">
        <is>
          <t>개구부 덮개 미설치 발견 → 즉시 조치 완료</t>
        </is>
      </c>
    </row>
    <row r="30">
      <c r="A30" s="2" t="inlineStr">
        <is>
          <t>내일 계획</t>
        </is>
      </c>
      <c r="B30" s="9" t="inlineStr">
        <is>
          <t>1층 1~3축 기둥 배근 마무리 + 4~5축 거푸집</t>
        </is>
      </c>
    </row>
    <row r="31">
      <c r="B31" s="9" t="inlineStr">
        <is>
          <t>지상 타설 협의 필요 (기상 상태 따라)</t>
        </is>
      </c>
    </row>
    <row r="33">
      <c r="A33" s="2" t="inlineStr">
        <is>
          <t>작성자</t>
        </is>
      </c>
      <c r="D33" s="2" t="inlineStr">
        <is>
          <t>공무팀장</t>
        </is>
      </c>
      <c r="G33" s="2" t="inlineStr">
        <is>
          <t>공사부장</t>
        </is>
      </c>
      <c r="J33" s="2" t="inlineStr">
        <is>
          <t>현장소장</t>
        </is>
      </c>
    </row>
    <row r="34">
      <c r="A34" s="3" t="n"/>
      <c r="D34" s="3" t="n"/>
      <c r="G34" s="3" t="n"/>
      <c r="J34" s="3" t="n"/>
    </row>
    <row r="35"/>
    <row r="36"/>
  </sheetData>
  <mergeCells count="18">
    <mergeCell ref="I29:N29"/>
    <mergeCell ref="A33:C33"/>
    <mergeCell ref="B29:D29"/>
    <mergeCell ref="B31:N31"/>
    <mergeCell ref="J34:N36"/>
    <mergeCell ref="F29:G29"/>
    <mergeCell ref="A28:N28"/>
    <mergeCell ref="B30:N30"/>
    <mergeCell ref="A19:N19"/>
    <mergeCell ref="G33:I33"/>
    <mergeCell ref="J33:N33"/>
    <mergeCell ref="A34:C36"/>
    <mergeCell ref="A5:N5"/>
    <mergeCell ref="D34:F36"/>
    <mergeCell ref="G34:I36"/>
    <mergeCell ref="D33:F33"/>
    <mergeCell ref="A30:A31"/>
    <mergeCell ref="A1:N1"/>
  </mergeCells>
  <dataValidations count="2">
    <dataValidation sqref="H3 K3" showDropDown="0" showInputMessage="0" showErrorMessage="0" allowBlank="1" type="list">
      <formula1>"맑음,흐림,비,눈,안개,바람"</formula1>
    </dataValidation>
    <dataValidation sqref="B29" showDropDown="0" showInputMessage="0" showErrorMessage="0" allowBlank="1" type="list">
      <formula1>"이상없음,경미,중경상,중대재해"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9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20" customWidth="1" min="13" max="13"/>
  </cols>
  <sheetData>
    <row r="1">
      <c r="A1" s="1" t="inlineStr">
        <is>
          <t>설비담당 일일 작업일보 (기계/전기/소방)</t>
        </is>
      </c>
    </row>
    <row r="3">
      <c r="A3" s="2" t="inlineStr">
        <is>
          <t>작성자</t>
        </is>
      </c>
      <c r="B3" s="9" t="inlineStr">
        <is>
          <t>기계팀 이대리</t>
        </is>
      </c>
      <c r="D3" s="2" t="inlineStr">
        <is>
          <t>작성일자</t>
        </is>
      </c>
      <c r="E3" s="9" t="inlineStr">
        <is>
          <t>2028-06-15</t>
        </is>
      </c>
      <c r="G3" s="2" t="inlineStr">
        <is>
          <t>공종 구분</t>
        </is>
      </c>
      <c r="H3" s="9" t="inlineStr">
        <is>
          <t>기계설비</t>
        </is>
      </c>
      <c r="J3" s="2" t="inlineStr">
        <is>
          <t>날씨</t>
        </is>
      </c>
      <c r="K3" s="9" t="inlineStr">
        <is>
          <t>맑음</t>
        </is>
      </c>
      <c r="L3" s="2" t="inlineStr">
        <is>
          <t>특이</t>
        </is>
      </c>
      <c r="M3" s="9" t="inlineStr">
        <is>
          <t>없음</t>
        </is>
      </c>
    </row>
    <row r="5">
      <c r="A5" s="4" t="inlineStr">
        <is>
          <t>① 설비 시공 실적</t>
        </is>
      </c>
    </row>
    <row r="6" ht="30" customHeight="1">
      <c r="A6" s="4" t="inlineStr">
        <is>
          <t>작업명</t>
        </is>
      </c>
      <c r="B6" s="4" t="inlineStr">
        <is>
          <t>작업위치</t>
        </is>
      </c>
      <c r="C6" s="4" t="inlineStr">
        <is>
          <t>협력업체</t>
        </is>
      </c>
      <c r="D6" s="4" t="inlineStr">
        <is>
          <t>계획물량</t>
        </is>
      </c>
      <c r="E6" s="4" t="inlineStr">
        <is>
          <t>실적물량</t>
        </is>
      </c>
      <c r="F6" s="4" t="inlineStr">
        <is>
          <t>단위</t>
        </is>
      </c>
      <c r="G6" s="4" t="inlineStr">
        <is>
          <t>달성률(%)</t>
        </is>
      </c>
      <c r="H6" s="4" t="inlineStr">
        <is>
          <t>기술자</t>
        </is>
      </c>
      <c r="I6" s="4" t="inlineStr">
        <is>
          <t>기능공</t>
        </is>
      </c>
      <c r="J6" s="4" t="inlineStr">
        <is>
          <t>보조</t>
        </is>
      </c>
      <c r="K6" s="4" t="inlineStr">
        <is>
          <t>총인원</t>
        </is>
      </c>
      <c r="L6" s="4" t="inlineStr">
        <is>
          <t>자재사용량</t>
        </is>
      </c>
      <c r="M6" s="4" t="inlineStr">
        <is>
          <t>특이사항</t>
        </is>
      </c>
    </row>
    <row r="7">
      <c r="A7" s="10" t="inlineStr">
        <is>
          <t>기계설비 슬리브</t>
        </is>
      </c>
      <c r="B7" s="10" t="inlineStr">
        <is>
          <t>B1층 천장</t>
        </is>
      </c>
      <c r="C7" s="10" t="inlineStr">
        <is>
          <t>(주)한국설비</t>
        </is>
      </c>
      <c r="D7" s="10" t="n">
        <v>50</v>
      </c>
      <c r="E7" s="10" t="n">
        <v>42</v>
      </c>
      <c r="F7" s="10" t="inlineStr">
        <is>
          <t>EA</t>
        </is>
      </c>
      <c r="G7" s="11">
        <f>IF(D7=0,0,E7/D7*100)</f>
        <v/>
      </c>
      <c r="H7" s="10" t="n">
        <v>1</v>
      </c>
      <c r="I7" s="10" t="n">
        <v>2</v>
      </c>
      <c r="J7" s="10" t="n">
        <v>1</v>
      </c>
      <c r="K7" s="12">
        <f>SUM(H7:J7)</f>
        <v/>
      </c>
      <c r="L7" s="10" t="inlineStr">
        <is>
          <t>STS 25Φ 12m</t>
        </is>
      </c>
      <c r="M7" s="9" t="inlineStr">
        <is>
          <t>정상</t>
        </is>
      </c>
    </row>
    <row r="8">
      <c r="A8" s="10" t="inlineStr">
        <is>
          <t>위생배관 입상</t>
        </is>
      </c>
      <c r="B8" s="10" t="inlineStr">
        <is>
          <t>1~3층 PD</t>
        </is>
      </c>
      <c r="C8" s="10" t="inlineStr">
        <is>
          <t>(주)한국설비</t>
        </is>
      </c>
      <c r="D8" s="10" t="n">
        <v>60</v>
      </c>
      <c r="E8" s="10" t="n">
        <v>25</v>
      </c>
      <c r="F8" s="10" t="inlineStr">
        <is>
          <t>m</t>
        </is>
      </c>
      <c r="G8" s="11">
        <f>IF(D8=0,0,E8/D8*100)</f>
        <v/>
      </c>
      <c r="H8" s="10" t="n">
        <v>1</v>
      </c>
      <c r="I8" s="10" t="n">
        <v>1</v>
      </c>
      <c r="J8" s="10" t="n">
        <v>1</v>
      </c>
      <c r="K8" s="12">
        <f>SUM(H8:J8)</f>
        <v/>
      </c>
      <c r="L8" s="10" t="inlineStr">
        <is>
          <t>STS 50Φ 8m</t>
        </is>
      </c>
      <c r="M8" s="9" t="inlineStr">
        <is>
          <t>자재 일부 부족</t>
        </is>
      </c>
    </row>
    <row r="9">
      <c r="A9" s="10" t="n"/>
      <c r="B9" s="10" t="n"/>
      <c r="C9" s="10" t="n"/>
      <c r="D9" s="10" t="n"/>
      <c r="E9" s="10" t="n"/>
      <c r="F9" s="10" t="n"/>
      <c r="G9" s="11">
        <f>IF(D9=0,0,E9/D9*100)</f>
        <v/>
      </c>
      <c r="H9" s="10" t="n"/>
      <c r="I9" s="10" t="n"/>
      <c r="J9" s="10" t="n"/>
      <c r="K9" s="12">
        <f>SUM(H9:J9)</f>
        <v/>
      </c>
      <c r="L9" s="10" t="n"/>
      <c r="M9" s="9" t="n"/>
    </row>
    <row r="10">
      <c r="A10" s="10" t="n"/>
      <c r="B10" s="10" t="n"/>
      <c r="C10" s="10" t="n"/>
      <c r="D10" s="10" t="n"/>
      <c r="E10" s="10" t="n"/>
      <c r="F10" s="10" t="n"/>
      <c r="G10" s="11">
        <f>IF(D10=0,0,E10/D10*100)</f>
        <v/>
      </c>
      <c r="H10" s="10" t="n"/>
      <c r="I10" s="10" t="n"/>
      <c r="J10" s="10" t="n"/>
      <c r="K10" s="12">
        <f>SUM(H10:J10)</f>
        <v/>
      </c>
      <c r="L10" s="10" t="n"/>
      <c r="M10" s="9" t="n"/>
    </row>
    <row r="11">
      <c r="A11" s="10" t="n"/>
      <c r="B11" s="10" t="n"/>
      <c r="C11" s="10" t="n"/>
      <c r="D11" s="10" t="n"/>
      <c r="E11" s="10" t="n"/>
      <c r="F11" s="10" t="n"/>
      <c r="G11" s="11">
        <f>IF(D11=0,0,E11/D11*100)</f>
        <v/>
      </c>
      <c r="H11" s="10" t="n"/>
      <c r="I11" s="10" t="n"/>
      <c r="J11" s="10" t="n"/>
      <c r="K11" s="12">
        <f>SUM(H11:J11)</f>
        <v/>
      </c>
      <c r="L11" s="10" t="n"/>
      <c r="M11" s="9" t="n"/>
    </row>
    <row r="12">
      <c r="A12" s="10" t="n"/>
      <c r="B12" s="10" t="n"/>
      <c r="C12" s="10" t="n"/>
      <c r="D12" s="10" t="n"/>
      <c r="E12" s="10" t="n"/>
      <c r="F12" s="10" t="n"/>
      <c r="G12" s="11">
        <f>IF(D12=0,0,E12/D12*100)</f>
        <v/>
      </c>
      <c r="H12" s="10" t="n"/>
      <c r="I12" s="10" t="n"/>
      <c r="J12" s="10" t="n"/>
      <c r="K12" s="12">
        <f>SUM(H12:J12)</f>
        <v/>
      </c>
      <c r="L12" s="10" t="n"/>
      <c r="M12" s="9" t="n"/>
    </row>
    <row r="13">
      <c r="A13" s="10" t="n"/>
      <c r="B13" s="10" t="n"/>
      <c r="C13" s="10" t="n"/>
      <c r="D13" s="10" t="n"/>
      <c r="E13" s="10" t="n"/>
      <c r="F13" s="10" t="n"/>
      <c r="G13" s="11">
        <f>IF(D13=0,0,E13/D13*100)</f>
        <v/>
      </c>
      <c r="H13" s="10" t="n"/>
      <c r="I13" s="10" t="n"/>
      <c r="J13" s="10" t="n"/>
      <c r="K13" s="12">
        <f>SUM(H13:J13)</f>
        <v/>
      </c>
      <c r="L13" s="10" t="n"/>
      <c r="M13" s="9" t="n"/>
    </row>
    <row r="14">
      <c r="A14" s="10" t="n"/>
      <c r="B14" s="10" t="n"/>
      <c r="C14" s="10" t="n"/>
      <c r="D14" s="10" t="n"/>
      <c r="E14" s="10" t="n"/>
      <c r="F14" s="10" t="n"/>
      <c r="G14" s="11">
        <f>IF(D14=0,0,E14/D14*100)</f>
        <v/>
      </c>
      <c r="H14" s="10" t="n"/>
      <c r="I14" s="10" t="n"/>
      <c r="J14" s="10" t="n"/>
      <c r="K14" s="12">
        <f>SUM(H14:J14)</f>
        <v/>
      </c>
      <c r="L14" s="10" t="n"/>
      <c r="M14" s="9" t="n"/>
    </row>
    <row r="15">
      <c r="A15" s="10" t="n"/>
      <c r="B15" s="10" t="n"/>
      <c r="C15" s="10" t="n"/>
      <c r="D15" s="10" t="n"/>
      <c r="E15" s="10" t="n"/>
      <c r="F15" s="10" t="n"/>
      <c r="G15" s="11">
        <f>IF(D15=0,0,E15/D15*100)</f>
        <v/>
      </c>
      <c r="H15" s="10" t="n"/>
      <c r="I15" s="10" t="n"/>
      <c r="J15" s="10" t="n"/>
      <c r="K15" s="12">
        <f>SUM(H15:J15)</f>
        <v/>
      </c>
      <c r="L15" s="10" t="n"/>
      <c r="M15" s="9" t="n"/>
    </row>
    <row r="16">
      <c r="A16" s="10" t="n"/>
      <c r="B16" s="10" t="n"/>
      <c r="C16" s="10" t="n"/>
      <c r="D16" s="10" t="n"/>
      <c r="E16" s="10" t="n"/>
      <c r="F16" s="10" t="n"/>
      <c r="G16" s="11">
        <f>IF(D16=0,0,E16/D16*100)</f>
        <v/>
      </c>
      <c r="H16" s="10" t="n"/>
      <c r="I16" s="10" t="n"/>
      <c r="J16" s="10" t="n"/>
      <c r="K16" s="12">
        <f>SUM(H16:J16)</f>
        <v/>
      </c>
      <c r="L16" s="10" t="n"/>
      <c r="M16" s="9" t="n"/>
    </row>
    <row r="17">
      <c r="A17" s="13" t="inlineStr">
        <is>
          <t>합계</t>
        </is>
      </c>
      <c r="D17" s="13">
        <f>SUM(D7:D16)</f>
        <v/>
      </c>
      <c r="E17" s="13">
        <f>SUM(E7:E16)</f>
        <v/>
      </c>
      <c r="H17" s="13">
        <f>SUM(H7:H16)</f>
        <v/>
      </c>
      <c r="I17" s="13">
        <f>SUM(I7:I16)</f>
        <v/>
      </c>
      <c r="J17" s="13">
        <f>SUM(J7:J16)</f>
        <v/>
      </c>
      <c r="K17" s="13">
        <f>SUM(K7:K16)</f>
        <v/>
      </c>
    </row>
    <row r="19">
      <c r="A19" s="4" t="inlineStr">
        <is>
          <t>② 시운전 · 시험 · 검사 (해당시)</t>
        </is>
      </c>
    </row>
    <row r="20">
      <c r="A20" s="4" t="inlineStr">
        <is>
          <t>종류</t>
        </is>
      </c>
      <c r="B20" s="4" t="inlineStr">
        <is>
          <t>위치</t>
        </is>
      </c>
      <c r="C20" s="4" t="inlineStr">
        <is>
          <t>기준값</t>
        </is>
      </c>
      <c r="D20" s="4" t="inlineStr">
        <is>
          <t>측정값</t>
        </is>
      </c>
      <c r="E20" s="4" t="inlineStr">
        <is>
          <t>판정</t>
        </is>
      </c>
      <c r="F20" s="4" t="inlineStr">
        <is>
          <t>입회자</t>
        </is>
      </c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6">
      <c r="A26" s="4" t="inlineStr">
        <is>
          <t>③ 안전 · 내일 계획</t>
        </is>
      </c>
    </row>
    <row r="27">
      <c r="A27" s="2" t="inlineStr">
        <is>
          <t>안전사고</t>
        </is>
      </c>
      <c r="B27" s="9" t="inlineStr">
        <is>
          <t>이상없음</t>
        </is>
      </c>
      <c r="E27" s="2" t="inlineStr">
        <is>
          <t>TBM</t>
        </is>
      </c>
      <c r="F27" s="9" t="inlineStr">
        <is>
          <t>07:30 실시</t>
        </is>
      </c>
      <c r="H27" s="2" t="inlineStr">
        <is>
          <t>보호구</t>
        </is>
      </c>
      <c r="I27" s="9" t="inlineStr">
        <is>
          <t>안전모/안전대/안전화 100% 착용 확인</t>
        </is>
      </c>
    </row>
    <row r="28">
      <c r="A28" s="2" t="inlineStr">
        <is>
          <t>내일 계획</t>
        </is>
      </c>
      <c r="B28" s="9" t="inlineStr">
        <is>
          <t>B1층 슬리브 작업 마무리, 위생배관 PD 입상 50Φ 진행</t>
        </is>
      </c>
    </row>
    <row r="29">
      <c r="B29" s="9" t="inlineStr">
        <is>
          <t>자재 STS 50Φ 추가 발주 협조 요청</t>
        </is>
      </c>
    </row>
  </sheetData>
  <mergeCells count="10">
    <mergeCell ref="A19:M19"/>
    <mergeCell ref="A1:M1"/>
    <mergeCell ref="A5:M5"/>
    <mergeCell ref="B28:M28"/>
    <mergeCell ref="A28:A29"/>
    <mergeCell ref="B27:D27"/>
    <mergeCell ref="A26:M26"/>
    <mergeCell ref="I27:M27"/>
    <mergeCell ref="F27:G27"/>
    <mergeCell ref="B29:M29"/>
  </mergeCells>
  <dataValidations count="2">
    <dataValidation sqref="H3" showDropDown="0" showInputMessage="0" showErrorMessage="0" allowBlank="0" type="list">
      <formula1>"기계설비,전기설비,소방설비,통신,자동제어,위생,공조"</formula1>
    </dataValidation>
    <dataValidation sqref="E21 E22 E23 E24" showDropDown="0" showInputMessage="0" showErrorMessage="0" allowBlank="1" type="list">
      <formula1>"합격,불합격,재시험"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6" customWidth="1" min="6" max="6"/>
    <col width="16" customWidth="1" min="7" max="7"/>
    <col width="11" customWidth="1" min="8" max="8"/>
    <col width="10" customWidth="1" min="9" max="9"/>
    <col width="9" customWidth="1" min="10" max="10"/>
    <col width="12" customWidth="1" min="11" max="11"/>
    <col width="18" customWidth="1" min="12" max="12"/>
  </cols>
  <sheetData>
    <row r="1">
      <c r="A1" s="1" t="inlineStr">
        <is>
          <t>자재담당 일일 입출고 일보</t>
        </is>
      </c>
    </row>
    <row r="3">
      <c r="A3" s="2" t="inlineStr">
        <is>
          <t>작성자</t>
        </is>
      </c>
      <c r="B3" s="9" t="inlineStr">
        <is>
          <t>자재팀 최주임</t>
        </is>
      </c>
      <c r="D3" s="2" t="inlineStr">
        <is>
          <t>작성일자</t>
        </is>
      </c>
      <c r="E3" s="9" t="inlineStr">
        <is>
          <t>2028-06-15</t>
        </is>
      </c>
      <c r="G3" s="2" t="inlineStr">
        <is>
          <t>결재</t>
        </is>
      </c>
      <c r="H3" s="9" t="inlineStr">
        <is>
          <t>공무팀장</t>
        </is>
      </c>
      <c r="J3" s="2" t="inlineStr">
        <is>
          <t>검측감리</t>
        </is>
      </c>
      <c r="K3" s="9" t="inlineStr">
        <is>
          <t>필요시</t>
        </is>
      </c>
    </row>
    <row r="5">
      <c r="A5" s="4" t="inlineStr">
        <is>
          <t>① 당일 입고 자재</t>
        </is>
      </c>
    </row>
    <row r="6" ht="30" customHeight="1">
      <c r="A6" s="4" t="inlineStr">
        <is>
          <t>자재명/규격</t>
        </is>
      </c>
      <c r="B6" s="4" t="inlineStr">
        <is>
          <t>발주번호</t>
        </is>
      </c>
      <c r="C6" s="4" t="inlineStr">
        <is>
          <t>입고시간</t>
        </is>
      </c>
      <c r="D6" s="4" t="inlineStr">
        <is>
          <t>계획수량</t>
        </is>
      </c>
      <c r="E6" s="4" t="inlineStr">
        <is>
          <t>입고수량</t>
        </is>
      </c>
      <c r="F6" s="4" t="inlineStr">
        <is>
          <t>단위</t>
        </is>
      </c>
      <c r="G6" s="4" t="inlineStr">
        <is>
          <t>납품업체</t>
        </is>
      </c>
      <c r="H6" s="4" t="inlineStr">
        <is>
          <t>차량번호</t>
        </is>
      </c>
      <c r="I6" s="4" t="inlineStr">
        <is>
          <t>검수결과</t>
        </is>
      </c>
      <c r="J6" s="4" t="inlineStr">
        <is>
          <t>불량수량</t>
        </is>
      </c>
      <c r="K6" s="4" t="inlineStr">
        <is>
          <t>보관위치</t>
        </is>
      </c>
      <c r="L6" s="4" t="inlineStr">
        <is>
          <t>비고</t>
        </is>
      </c>
    </row>
    <row r="7">
      <c r="A7" s="10" t="inlineStr">
        <is>
          <t>레미콘 25-24-15</t>
        </is>
      </c>
      <c r="B7" s="10" t="inlineStr">
        <is>
          <t>PO-2806-01</t>
        </is>
      </c>
      <c r="C7" s="10" t="inlineStr">
        <is>
          <t>09:30</t>
        </is>
      </c>
      <c r="D7" s="10" t="n">
        <v>25</v>
      </c>
      <c r="E7" s="10" t="n">
        <v>25</v>
      </c>
      <c r="F7" s="10" t="inlineStr">
        <is>
          <t>㎥</t>
        </is>
      </c>
      <c r="G7" s="10" t="inlineStr">
        <is>
          <t>삼표레미콘</t>
        </is>
      </c>
      <c r="H7" s="10" t="inlineStr">
        <is>
          <t>서울 56가 5601</t>
        </is>
      </c>
      <c r="I7" s="10" t="inlineStr">
        <is>
          <t>합격</t>
        </is>
      </c>
      <c r="J7" s="10" t="n">
        <v>0</v>
      </c>
      <c r="K7" s="10" t="inlineStr">
        <is>
          <t>현장반입</t>
        </is>
      </c>
      <c r="L7" s="9" t="inlineStr">
        <is>
          <t>B2층 타설용</t>
        </is>
      </c>
    </row>
    <row r="8">
      <c r="A8" s="10" t="inlineStr">
        <is>
          <t>철근 HD16</t>
        </is>
      </c>
      <c r="B8" s="10" t="inlineStr">
        <is>
          <t>PO-2806-02</t>
        </is>
      </c>
      <c r="C8" s="10" t="inlineStr">
        <is>
          <t>14:00</t>
        </is>
      </c>
      <c r="D8" s="10" t="n">
        <v>3</v>
      </c>
      <c r="E8" s="10" t="n">
        <v>2.5</v>
      </c>
      <c r="F8" s="10" t="inlineStr">
        <is>
          <t>ton</t>
        </is>
      </c>
      <c r="G8" s="10" t="inlineStr">
        <is>
          <t>동부제철</t>
        </is>
      </c>
      <c r="H8" s="10" t="inlineStr">
        <is>
          <t>서울 79바 8821</t>
        </is>
      </c>
      <c r="I8" s="10" t="inlineStr">
        <is>
          <t>합격</t>
        </is>
      </c>
      <c r="J8" s="10" t="n">
        <v>0</v>
      </c>
      <c r="K8" s="10" t="inlineStr">
        <is>
          <t>야적장 B</t>
        </is>
      </c>
      <c r="L8" s="9" t="inlineStr">
        <is>
          <t>부족분 재발주 필요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9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9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9" t="n"/>
    </row>
    <row r="18">
      <c r="A18" s="4" t="inlineStr">
        <is>
          <t>② 당일 출고 / 사용 자재</t>
        </is>
      </c>
    </row>
    <row r="19" ht="30" customHeight="1">
      <c r="A19" s="4" t="inlineStr">
        <is>
          <t>자재명/규격</t>
        </is>
      </c>
      <c r="B19" s="4" t="inlineStr">
        <is>
          <t>요청부서</t>
        </is>
      </c>
      <c r="C19" s="4" t="inlineStr">
        <is>
          <t>출고시간</t>
        </is>
      </c>
      <c r="D19" s="4" t="inlineStr">
        <is>
          <t>출고수량</t>
        </is>
      </c>
      <c r="E19" s="4" t="inlineStr">
        <is>
          <t>단위</t>
        </is>
      </c>
      <c r="F19" s="4" t="inlineStr">
        <is>
          <t>사용 공종</t>
        </is>
      </c>
      <c r="G19" s="4" t="inlineStr">
        <is>
          <t>작업위치</t>
        </is>
      </c>
      <c r="H19" s="4" t="inlineStr">
        <is>
          <t>불출자</t>
        </is>
      </c>
      <c r="I19" s="4" t="inlineStr">
        <is>
          <t>수령자</t>
        </is>
      </c>
      <c r="J19" s="4" t="inlineStr">
        <is>
          <t>반품수량</t>
        </is>
      </c>
      <c r="K19" s="4" t="inlineStr">
        <is>
          <t>잔여재고</t>
        </is>
      </c>
      <c r="L19" s="4" t="inlineStr">
        <is>
          <t>비고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9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9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9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9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9" t="n"/>
    </row>
    <row r="29">
      <c r="A29" s="4" t="inlineStr">
        <is>
          <t>③ 주요 자재 재고 현황 (마감 기준)</t>
        </is>
      </c>
    </row>
    <row r="30" ht="30" customHeight="1">
      <c r="A30" s="4" t="inlineStr">
        <is>
          <t>자재명/규격</t>
        </is>
      </c>
      <c r="B30" s="4" t="inlineStr">
        <is>
          <t>재고수량</t>
        </is>
      </c>
      <c r="C30" s="4" t="inlineStr">
        <is>
          <t>단위</t>
        </is>
      </c>
      <c r="D30" s="4" t="inlineStr">
        <is>
          <t>최소재고</t>
        </is>
      </c>
      <c r="E30" s="4" t="inlineStr">
        <is>
          <t>부족여부</t>
        </is>
      </c>
      <c r="F30" s="4" t="inlineStr">
        <is>
          <t>발주필요량</t>
        </is>
      </c>
      <c r="G30" s="4" t="inlineStr">
        <is>
          <t>보관위치</t>
        </is>
      </c>
      <c r="H30" s="4" t="inlineStr">
        <is>
          <t>입고예정일</t>
        </is>
      </c>
      <c r="I30" s="4" t="inlineStr">
        <is>
          <t>발주처</t>
        </is>
      </c>
      <c r="J30" s="4" t="inlineStr">
        <is>
          <t>상태</t>
        </is>
      </c>
      <c r="K30" s="4" t="inlineStr">
        <is>
          <t>담당자</t>
        </is>
      </c>
      <c r="L30" s="4" t="inlineStr">
        <is>
          <t>비고</t>
        </is>
      </c>
    </row>
    <row r="31">
      <c r="A31" s="14" t="inlineStr">
        <is>
          <t>철근 HD16</t>
        </is>
      </c>
      <c r="B31" s="14" t="n">
        <v>0.5</v>
      </c>
      <c r="C31" s="14" t="inlineStr">
        <is>
          <t>ton</t>
        </is>
      </c>
      <c r="D31" s="14" t="n">
        <v>2</v>
      </c>
      <c r="E31" s="12">
        <f>IF(B31&lt;D31,"부족","정상")</f>
        <v/>
      </c>
      <c r="F31" s="12">
        <f>MAX(0,D31-B31)</f>
        <v/>
      </c>
      <c r="G31" s="14" t="inlineStr">
        <is>
          <t>야적장 B</t>
        </is>
      </c>
      <c r="H31" s="14" t="inlineStr">
        <is>
          <t>2028-06-17</t>
        </is>
      </c>
      <c r="I31" s="14" t="inlineStr">
        <is>
          <t>동부제철</t>
        </is>
      </c>
      <c r="J31" s="14" t="inlineStr">
        <is>
          <t>부족</t>
        </is>
      </c>
      <c r="K31" s="14" t="inlineStr">
        <is>
          <t>최주임</t>
        </is>
      </c>
      <c r="L31" s="15" t="inlineStr">
        <is>
          <t>긴급발주</t>
        </is>
      </c>
    </row>
    <row r="32">
      <c r="A32" s="14" t="inlineStr">
        <is>
          <t>레미콘 25-24-15</t>
        </is>
      </c>
      <c r="B32" s="14" t="n">
        <v>0</v>
      </c>
      <c r="C32" s="14" t="inlineStr">
        <is>
          <t>㎥</t>
        </is>
      </c>
      <c r="D32" s="14" t="n">
        <v>0</v>
      </c>
      <c r="E32" s="12">
        <f>IF(B32&lt;D32,"부족","정상")</f>
        <v/>
      </c>
      <c r="F32" s="12">
        <f>MAX(0,D32-B32)</f>
        <v/>
      </c>
      <c r="G32" s="14" t="inlineStr">
        <is>
          <t>현장반입</t>
        </is>
      </c>
      <c r="H32" s="14" t="inlineStr">
        <is>
          <t>2028-06-16</t>
        </is>
      </c>
      <c r="I32" s="14" t="inlineStr">
        <is>
          <t>삼표레미콘</t>
        </is>
      </c>
      <c r="J32" s="14" t="inlineStr">
        <is>
          <t>당일발주</t>
        </is>
      </c>
      <c r="K32" s="14" t="inlineStr">
        <is>
          <t>최주임</t>
        </is>
      </c>
      <c r="L32" s="15" t="inlineStr"/>
    </row>
    <row r="33">
      <c r="A33" s="14" t="n"/>
      <c r="B33" s="14" t="n"/>
      <c r="C33" s="14" t="n"/>
      <c r="D33" s="14" t="n"/>
      <c r="E33" s="12">
        <f>IF(B33="","",IF(B33&lt;D33,"부족","정상"))</f>
        <v/>
      </c>
      <c r="F33" s="12">
        <f>IF(B33="","",MAX(0,D33-B33))</f>
        <v/>
      </c>
      <c r="G33" s="14" t="n"/>
      <c r="H33" s="14" t="n"/>
      <c r="I33" s="14" t="n"/>
      <c r="J33" s="14" t="n"/>
      <c r="K33" s="14" t="n"/>
      <c r="L33" s="15" t="n"/>
    </row>
    <row r="34">
      <c r="A34" s="14" t="n"/>
      <c r="B34" s="14" t="n"/>
      <c r="C34" s="14" t="n"/>
      <c r="D34" s="14" t="n"/>
      <c r="E34" s="12">
        <f>IF(B34="","",IF(B34&lt;D34,"부족","정상"))</f>
        <v/>
      </c>
      <c r="F34" s="12">
        <f>IF(B34="","",MAX(0,D34-B34))</f>
        <v/>
      </c>
      <c r="G34" s="14" t="n"/>
      <c r="H34" s="14" t="n"/>
      <c r="I34" s="14" t="n"/>
      <c r="J34" s="14" t="n"/>
      <c r="K34" s="14" t="n"/>
      <c r="L34" s="15" t="n"/>
    </row>
    <row r="35">
      <c r="A35" s="14" t="n"/>
      <c r="B35" s="14" t="n"/>
      <c r="C35" s="14" t="n"/>
      <c r="D35" s="14" t="n"/>
      <c r="E35" s="12">
        <f>IF(B35="","",IF(B35&lt;D35,"부족","정상"))</f>
        <v/>
      </c>
      <c r="F35" s="12">
        <f>IF(B35="","",MAX(0,D35-B35))</f>
        <v/>
      </c>
      <c r="G35" s="14" t="n"/>
      <c r="H35" s="14" t="n"/>
      <c r="I35" s="14" t="n"/>
      <c r="J35" s="14" t="n"/>
      <c r="K35" s="14" t="n"/>
      <c r="L35" s="15" t="n"/>
    </row>
    <row r="36">
      <c r="A36" s="14" t="n"/>
      <c r="B36" s="14" t="n"/>
      <c r="C36" s="14" t="n"/>
      <c r="D36" s="14" t="n"/>
      <c r="E36" s="12">
        <f>IF(B36="","",IF(B36&lt;D36,"부족","정상"))</f>
        <v/>
      </c>
      <c r="F36" s="12">
        <f>IF(B36="","",MAX(0,D36-B36))</f>
        <v/>
      </c>
      <c r="G36" s="14" t="n"/>
      <c r="H36" s="14" t="n"/>
      <c r="I36" s="14" t="n"/>
      <c r="J36" s="14" t="n"/>
      <c r="K36" s="14" t="n"/>
      <c r="L36" s="15" t="n"/>
    </row>
    <row r="37">
      <c r="A37" s="14" t="n"/>
      <c r="B37" s="14" t="n"/>
      <c r="C37" s="14" t="n"/>
      <c r="D37" s="14" t="n"/>
      <c r="E37" s="12">
        <f>IF(B37="","",IF(B37&lt;D37,"부족","정상"))</f>
        <v/>
      </c>
      <c r="F37" s="12">
        <f>IF(B37="","",MAX(0,D37-B37))</f>
        <v/>
      </c>
      <c r="G37" s="14" t="n"/>
      <c r="H37" s="14" t="n"/>
      <c r="I37" s="14" t="n"/>
      <c r="J37" s="14" t="n"/>
      <c r="K37" s="14" t="n"/>
      <c r="L37" s="15" t="n"/>
    </row>
    <row r="38">
      <c r="A38" s="14" t="n"/>
      <c r="B38" s="14" t="n"/>
      <c r="C38" s="14" t="n"/>
      <c r="D38" s="14" t="n"/>
      <c r="E38" s="12">
        <f>IF(B38="","",IF(B38&lt;D38,"부족","정상"))</f>
        <v/>
      </c>
      <c r="F38" s="12">
        <f>IF(B38="","",MAX(0,D38-B38))</f>
        <v/>
      </c>
      <c r="G38" s="14" t="n"/>
      <c r="H38" s="14" t="n"/>
      <c r="I38" s="14" t="n"/>
      <c r="J38" s="14" t="n"/>
      <c r="K38" s="14" t="n"/>
      <c r="L38" s="15" t="n"/>
    </row>
    <row r="39">
      <c r="A39" s="14" t="n"/>
      <c r="B39" s="14" t="n"/>
      <c r="C39" s="14" t="n"/>
      <c r="D39" s="14" t="n"/>
      <c r="E39" s="12">
        <f>IF(B39="","",IF(B39&lt;D39,"부족","정상"))</f>
        <v/>
      </c>
      <c r="F39" s="12">
        <f>IF(B39="","",MAX(0,D39-B39))</f>
        <v/>
      </c>
      <c r="G39" s="14" t="n"/>
      <c r="H39" s="14" t="n"/>
      <c r="I39" s="14" t="n"/>
      <c r="J39" s="14" t="n"/>
      <c r="K39" s="14" t="n"/>
      <c r="L39" s="15" t="n"/>
    </row>
    <row r="40">
      <c r="A40" s="14" t="n"/>
      <c r="B40" s="14" t="n"/>
      <c r="C40" s="14" t="n"/>
      <c r="D40" s="14" t="n"/>
      <c r="E40" s="12">
        <f>IF(B40="","",IF(B40&lt;D40,"부족","정상"))</f>
        <v/>
      </c>
      <c r="F40" s="12">
        <f>IF(B40="","",MAX(0,D40-B40))</f>
        <v/>
      </c>
      <c r="G40" s="14" t="n"/>
      <c r="H40" s="14" t="n"/>
      <c r="I40" s="14" t="n"/>
      <c r="J40" s="14" t="n"/>
      <c r="K40" s="14" t="n"/>
      <c r="L40" s="15" t="n"/>
    </row>
  </sheetData>
  <mergeCells count="4">
    <mergeCell ref="A29:L29"/>
    <mergeCell ref="A1:L1"/>
    <mergeCell ref="A18:L18"/>
    <mergeCell ref="A5:L5"/>
  </mergeCells>
  <dataValidations count="2">
    <dataValidation sqref="I7 I8 I9 I10 I11 I12 I13 I14 I15 I16" showDropDown="0" showInputMessage="0" showErrorMessage="0" allowBlank="1" type="list">
      <formula1>"합격,불합격,일부불합격,재검사"</formula1>
    </dataValidation>
    <dataValidation sqref="J31 J32 J33 J34 J35 J36 J37 J38 J39 J40" showDropDown="0" showInputMessage="0" showErrorMessage="0" allowBlank="1" type="list">
      <formula1>"정상,부족,긴급발주,당일발주,입고예정,단종"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9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안전담당 일일 안전관리 일지</t>
        </is>
      </c>
    </row>
    <row r="3">
      <c r="A3" s="2" t="inlineStr">
        <is>
          <t>작성자</t>
        </is>
      </c>
      <c r="B3" s="9" t="inlineStr">
        <is>
          <t>안전팀 정과장</t>
        </is>
      </c>
      <c r="D3" s="2" t="inlineStr">
        <is>
          <t>작성일자</t>
        </is>
      </c>
      <c r="E3" s="9" t="inlineStr">
        <is>
          <t>2028-06-15</t>
        </is>
      </c>
      <c r="G3" s="2" t="inlineStr">
        <is>
          <t>재해등급</t>
        </is>
      </c>
      <c r="H3" s="9" t="inlineStr">
        <is>
          <t>무재해</t>
        </is>
      </c>
      <c r="J3" s="2" t="inlineStr">
        <is>
          <t>무재해일수</t>
        </is>
      </c>
      <c r="K3" s="9" t="n">
        <v>47</v>
      </c>
    </row>
    <row r="5">
      <c r="A5" s="4" t="inlineStr">
        <is>
          <t>① TBM (Tool Box Meeting) / 안전조회</t>
        </is>
      </c>
    </row>
    <row r="6" ht="30" customHeight="1">
      <c r="A6" s="4" t="inlineStr">
        <is>
          <t>시간</t>
        </is>
      </c>
      <c r="B6" s="4" t="inlineStr">
        <is>
          <t>공종</t>
        </is>
      </c>
      <c r="C6" s="4" t="inlineStr">
        <is>
          <t>협력업체</t>
        </is>
      </c>
      <c r="D6" s="4" t="inlineStr">
        <is>
          <t>참석인원</t>
        </is>
      </c>
      <c r="E6" s="4" t="inlineStr">
        <is>
          <t>주제</t>
        </is>
      </c>
      <c r="F6" s="4" t="inlineStr">
        <is>
          <t>위험요인 공유</t>
        </is>
      </c>
      <c r="G6" s="4" t="inlineStr">
        <is>
          <t>주관자</t>
        </is>
      </c>
    </row>
    <row r="7">
      <c r="A7" s="10" t="inlineStr">
        <is>
          <t>07:30</t>
        </is>
      </c>
      <c r="B7" s="10" t="inlineStr">
        <is>
          <t>건축</t>
        </is>
      </c>
      <c r="C7" s="10" t="inlineStr">
        <is>
          <t>(주)대한건설</t>
        </is>
      </c>
      <c r="D7" s="10" t="n">
        <v>18</v>
      </c>
      <c r="E7" s="9" t="inlineStr">
        <is>
          <t>고소작업 안전수칙</t>
        </is>
      </c>
      <c r="F7" s="9" t="inlineStr">
        <is>
          <t>개구부 덮개 점검 강조</t>
        </is>
      </c>
      <c r="G7" s="10" t="inlineStr">
        <is>
          <t>정과장</t>
        </is>
      </c>
    </row>
    <row r="8">
      <c r="A8" s="10" t="inlineStr">
        <is>
          <t>07:30</t>
        </is>
      </c>
      <c r="B8" s="10" t="inlineStr">
        <is>
          <t>기계설비</t>
        </is>
      </c>
      <c r="C8" s="10" t="inlineStr">
        <is>
          <t>(주)한국설비</t>
        </is>
      </c>
      <c r="D8" s="10" t="n">
        <v>5</v>
      </c>
      <c r="E8" s="9" t="inlineStr">
        <is>
          <t>용접작업 화재 예방</t>
        </is>
      </c>
      <c r="F8" s="9" t="inlineStr">
        <is>
          <t>소화기 비치 확인</t>
        </is>
      </c>
      <c r="G8" s="10" t="inlineStr">
        <is>
          <t>이대리</t>
        </is>
      </c>
    </row>
    <row r="9">
      <c r="A9" s="10" t="n"/>
      <c r="B9" s="10" t="n"/>
      <c r="C9" s="10" t="n"/>
      <c r="D9" s="10" t="n"/>
      <c r="E9" s="9" t="n"/>
      <c r="F9" s="9" t="n"/>
      <c r="G9" s="10" t="n"/>
    </row>
    <row r="10">
      <c r="A10" s="10" t="n"/>
      <c r="B10" s="10" t="n"/>
      <c r="C10" s="10" t="n"/>
      <c r="D10" s="10" t="n"/>
      <c r="E10" s="9" t="n"/>
      <c r="F10" s="9" t="n"/>
      <c r="G10" s="10" t="n"/>
    </row>
    <row r="11">
      <c r="A11" s="10" t="n"/>
      <c r="B11" s="10" t="n"/>
      <c r="C11" s="10" t="n"/>
      <c r="D11" s="10" t="n"/>
      <c r="E11" s="9" t="n"/>
      <c r="F11" s="9" t="n"/>
      <c r="G11" s="10" t="n"/>
    </row>
    <row r="12">
      <c r="A12" s="10" t="n"/>
      <c r="B12" s="10" t="n"/>
      <c r="C12" s="10" t="n"/>
      <c r="D12" s="10" t="n"/>
      <c r="E12" s="9" t="n"/>
      <c r="F12" s="9" t="n"/>
      <c r="G12" s="10" t="n"/>
    </row>
    <row r="14">
      <c r="A14" s="4" t="inlineStr">
        <is>
          <t>② 위험요인 점검 / 시정조치</t>
        </is>
      </c>
    </row>
    <row r="15" ht="30" customHeight="1">
      <c r="A15" s="4" t="inlineStr">
        <is>
          <t>시간</t>
        </is>
      </c>
      <c r="B15" s="4" t="inlineStr">
        <is>
          <t>위치</t>
        </is>
      </c>
      <c r="C15" s="4" t="inlineStr">
        <is>
          <t>위험요인</t>
        </is>
      </c>
      <c r="D15" s="4" t="inlineStr">
        <is>
          <t>위험등급</t>
        </is>
      </c>
      <c r="E15" s="4" t="inlineStr">
        <is>
          <t>조치내용</t>
        </is>
      </c>
      <c r="F15" s="4" t="inlineStr">
        <is>
          <t>조치시간</t>
        </is>
      </c>
      <c r="G15" s="4" t="inlineStr">
        <is>
          <t>확인자</t>
        </is>
      </c>
    </row>
    <row r="16">
      <c r="A16" s="10" t="inlineStr">
        <is>
          <t>09:00</t>
        </is>
      </c>
      <c r="B16" s="10" t="inlineStr">
        <is>
          <t>B2층 슬래브</t>
        </is>
      </c>
      <c r="C16" s="9" t="inlineStr">
        <is>
          <t>개구부 덮개 미설치 (3개소)</t>
        </is>
      </c>
      <c r="D16" s="10" t="inlineStr">
        <is>
          <t>상</t>
        </is>
      </c>
      <c r="E16" s="9" t="inlineStr">
        <is>
          <t>즉시 합판 덮개 설치 + 안전테이프</t>
        </is>
      </c>
      <c r="F16" s="10" t="inlineStr">
        <is>
          <t>09:30</t>
        </is>
      </c>
      <c r="G16" s="10" t="inlineStr">
        <is>
          <t>박과장</t>
        </is>
      </c>
    </row>
    <row r="17">
      <c r="A17" s="10" t="inlineStr">
        <is>
          <t>14:00</t>
        </is>
      </c>
      <c r="B17" s="10" t="inlineStr">
        <is>
          <t>1층 거푸집</t>
        </is>
      </c>
      <c r="C17" s="9" t="inlineStr">
        <is>
          <t>안전난간 일부 파손</t>
        </is>
      </c>
      <c r="D17" s="10" t="inlineStr">
        <is>
          <t>중</t>
        </is>
      </c>
      <c r="E17" s="9" t="inlineStr">
        <is>
          <t>교체 작업 지시 (당일 완료)</t>
        </is>
      </c>
      <c r="F17" s="10" t="inlineStr">
        <is>
          <t>16:00</t>
        </is>
      </c>
      <c r="G17" s="10" t="inlineStr">
        <is>
          <t>박과장</t>
        </is>
      </c>
    </row>
    <row r="18">
      <c r="A18" s="10" t="n"/>
      <c r="B18" s="10" t="n"/>
      <c r="C18" s="9" t="n"/>
      <c r="D18" s="10" t="n"/>
      <c r="E18" s="9" t="n"/>
      <c r="F18" s="10" t="n"/>
      <c r="G18" s="10" t="n"/>
    </row>
    <row r="19">
      <c r="A19" s="10" t="n"/>
      <c r="B19" s="10" t="n"/>
      <c r="C19" s="9" t="n"/>
      <c r="D19" s="10" t="n"/>
      <c r="E19" s="9" t="n"/>
      <c r="F19" s="10" t="n"/>
      <c r="G19" s="10" t="n"/>
    </row>
    <row r="20">
      <c r="A20" s="10" t="n"/>
      <c r="B20" s="10" t="n"/>
      <c r="C20" s="9" t="n"/>
      <c r="D20" s="10" t="n"/>
      <c r="E20" s="9" t="n"/>
      <c r="F20" s="10" t="n"/>
      <c r="G20" s="10" t="n"/>
    </row>
    <row r="21">
      <c r="A21" s="10" t="n"/>
      <c r="B21" s="10" t="n"/>
      <c r="C21" s="9" t="n"/>
      <c r="D21" s="10" t="n"/>
      <c r="E21" s="9" t="n"/>
      <c r="F21" s="10" t="n"/>
      <c r="G21" s="10" t="n"/>
    </row>
    <row r="22">
      <c r="A22" s="10" t="n"/>
      <c r="B22" s="10" t="n"/>
      <c r="C22" s="9" t="n"/>
      <c r="D22" s="10" t="n"/>
      <c r="E22" s="9" t="n"/>
      <c r="F22" s="10" t="n"/>
      <c r="G22" s="10" t="n"/>
    </row>
    <row r="24">
      <c r="A24" s="4" t="inlineStr">
        <is>
          <t>③ 보호구 착용 / 안전시설 점검</t>
        </is>
      </c>
    </row>
    <row r="25" ht="30" customHeight="1">
      <c r="A25" s="4" t="inlineStr">
        <is>
          <t>구분</t>
        </is>
      </c>
      <c r="B25" s="4" t="inlineStr">
        <is>
          <t>점검대상</t>
        </is>
      </c>
      <c r="C25" s="4" t="inlineStr">
        <is>
          <t>점검수량</t>
        </is>
      </c>
      <c r="D25" s="4" t="inlineStr">
        <is>
          <t>이상수량</t>
        </is>
      </c>
      <c r="E25" s="4" t="inlineStr">
        <is>
          <t>착용률(%)</t>
        </is>
      </c>
      <c r="F25" s="4" t="inlineStr">
        <is>
          <t>조치사항</t>
        </is>
      </c>
    </row>
    <row r="26">
      <c r="A26" s="10" t="inlineStr">
        <is>
          <t>보호구</t>
        </is>
      </c>
      <c r="B26" s="10" t="inlineStr">
        <is>
          <t>안전모</t>
        </is>
      </c>
      <c r="C26" s="10" t="n">
        <v>47</v>
      </c>
      <c r="D26" s="10" t="n">
        <v>0</v>
      </c>
      <c r="E26" s="11">
        <f>IF(C26=0,0,(C26-D26)/C26*100)</f>
        <v/>
      </c>
      <c r="F26" s="9" t="inlineStr">
        <is>
          <t>전원 착용 확인</t>
        </is>
      </c>
    </row>
    <row r="27">
      <c r="A27" s="10" t="inlineStr">
        <is>
          <t>보호구</t>
        </is>
      </c>
      <c r="B27" s="10" t="inlineStr">
        <is>
          <t>안전대(고소)</t>
        </is>
      </c>
      <c r="C27" s="10" t="n">
        <v>12</v>
      </c>
      <c r="D27" s="10" t="n">
        <v>1</v>
      </c>
      <c r="E27" s="11">
        <f>IF(C27=0,0,(C27-D27)/C27*100)</f>
        <v/>
      </c>
      <c r="F27" s="9" t="inlineStr">
        <is>
          <t>1명 미착용 시정</t>
        </is>
      </c>
    </row>
    <row r="28">
      <c r="A28" s="10" t="inlineStr">
        <is>
          <t>보호구</t>
        </is>
      </c>
      <c r="B28" s="10" t="inlineStr">
        <is>
          <t>안전화</t>
        </is>
      </c>
      <c r="C28" s="10" t="n">
        <v>47</v>
      </c>
      <c r="D28" s="10" t="n">
        <v>0</v>
      </c>
      <c r="E28" s="11">
        <f>IF(C28=0,0,(C28-D28)/C28*100)</f>
        <v/>
      </c>
      <c r="F28" s="9" t="inlineStr">
        <is>
          <t>전원 착용</t>
        </is>
      </c>
    </row>
    <row r="29">
      <c r="A29" s="10" t="inlineStr">
        <is>
          <t>시설</t>
        </is>
      </c>
      <c r="B29" s="10" t="inlineStr">
        <is>
          <t>추락방지망</t>
        </is>
      </c>
      <c r="C29" s="10" t="n">
        <v>5</v>
      </c>
      <c r="D29" s="10" t="n">
        <v>0</v>
      </c>
      <c r="E29" s="11">
        <f>IF(C29=0,0,(C29-D29)/C29*100)</f>
        <v/>
      </c>
      <c r="F29" s="9" t="inlineStr">
        <is>
          <t>정상</t>
        </is>
      </c>
    </row>
    <row r="30">
      <c r="A30" s="10" t="inlineStr">
        <is>
          <t>시설</t>
        </is>
      </c>
      <c r="B30" s="10" t="inlineStr">
        <is>
          <t>개구부 덮개</t>
        </is>
      </c>
      <c r="C30" s="10" t="n">
        <v>23</v>
      </c>
      <c r="D30" s="10" t="n">
        <v>3</v>
      </c>
      <c r="E30" s="11">
        <f>IF(C30=0,0,(C30-D30)/C30*100)</f>
        <v/>
      </c>
      <c r="F30" s="9" t="inlineStr">
        <is>
          <t>3개소 덮개 설치</t>
        </is>
      </c>
    </row>
    <row r="31">
      <c r="A31" s="10" t="inlineStr">
        <is>
          <t>시설</t>
        </is>
      </c>
      <c r="B31" s="10" t="inlineStr">
        <is>
          <t>안전난간</t>
        </is>
      </c>
      <c r="C31" s="10" t="n">
        <v>18</v>
      </c>
      <c r="D31" s="10" t="n">
        <v>1</v>
      </c>
      <c r="E31" s="11">
        <f>IF(C31=0,0,(C31-D31)/C31*100)</f>
        <v/>
      </c>
      <c r="F31" s="9" t="inlineStr">
        <is>
          <t>1개소 교체</t>
        </is>
      </c>
    </row>
    <row r="33">
      <c r="A33" s="4" t="inlineStr">
        <is>
          <t>④ 안전교육 실시 (해당시)</t>
        </is>
      </c>
    </row>
    <row r="34" ht="30" customHeight="1">
      <c r="A34" s="4" t="inlineStr">
        <is>
          <t>교육종류</t>
        </is>
      </c>
      <c r="B34" s="4" t="inlineStr">
        <is>
          <t>대상</t>
        </is>
      </c>
      <c r="C34" s="4" t="inlineStr">
        <is>
          <t>인원</t>
        </is>
      </c>
      <c r="D34" s="4" t="inlineStr">
        <is>
          <t>시간</t>
        </is>
      </c>
      <c r="E34" s="4" t="inlineStr">
        <is>
          <t>강사</t>
        </is>
      </c>
      <c r="F34" s="4" t="inlineStr">
        <is>
          <t>교육내용</t>
        </is>
      </c>
      <c r="G34" s="4" t="inlineStr">
        <is>
          <t>자료</t>
        </is>
      </c>
    </row>
    <row r="35">
      <c r="A35" s="14" t="inlineStr">
        <is>
          <t>신규채용교육</t>
        </is>
      </c>
      <c r="B35" s="14" t="inlineStr">
        <is>
          <t>신규입장자</t>
        </is>
      </c>
      <c r="C35" s="14" t="n">
        <v>2</v>
      </c>
      <c r="D35" s="14" t="inlineStr">
        <is>
          <t>1.0h</t>
        </is>
      </c>
      <c r="E35" s="14" t="inlineStr">
        <is>
          <t>정과장</t>
        </is>
      </c>
      <c r="F35" s="15" t="inlineStr">
        <is>
          <t>현장규칙, 위험요인, 비상연락망</t>
        </is>
      </c>
      <c r="G35" s="14" t="inlineStr">
        <is>
          <t>교재 1식</t>
        </is>
      </c>
    </row>
    <row r="36">
      <c r="A36" s="14" t="n"/>
      <c r="B36" s="14" t="n"/>
      <c r="C36" s="14" t="n"/>
      <c r="D36" s="14" t="n"/>
      <c r="E36" s="14" t="n"/>
      <c r="F36" s="15" t="n"/>
      <c r="G36" s="14" t="n"/>
    </row>
    <row r="37">
      <c r="A37" s="14" t="n"/>
      <c r="B37" s="14" t="n"/>
      <c r="C37" s="14" t="n"/>
      <c r="D37" s="14" t="n"/>
      <c r="E37" s="14" t="n"/>
      <c r="F37" s="15" t="n"/>
      <c r="G37" s="14" t="n"/>
    </row>
    <row r="38">
      <c r="A38" s="14" t="n"/>
      <c r="B38" s="14" t="n"/>
      <c r="C38" s="14" t="n"/>
      <c r="D38" s="14" t="n"/>
      <c r="E38" s="14" t="n"/>
      <c r="F38" s="15" t="n"/>
      <c r="G38" s="14" t="n"/>
    </row>
    <row r="39">
      <c r="A39" s="14" t="n"/>
      <c r="B39" s="14" t="n"/>
      <c r="C39" s="14" t="n"/>
      <c r="D39" s="14" t="n"/>
      <c r="E39" s="14" t="n"/>
      <c r="F39" s="15" t="n"/>
      <c r="G39" s="14" t="n"/>
    </row>
    <row r="41">
      <c r="A41" s="4" t="inlineStr">
        <is>
          <t>⑤ 사고 발생 시 보고 (해당시)</t>
        </is>
      </c>
    </row>
    <row r="42">
      <c r="A42" s="2" t="inlineStr"/>
      <c r="B42" s="15" t="n"/>
      <c r="D42" s="2" t="inlineStr">
        <is>
          <t>발생장소</t>
        </is>
      </c>
      <c r="E42" s="15" t="n"/>
      <c r="H42" s="2" t="inlineStr">
        <is>
          <t>재해종류</t>
        </is>
      </c>
      <c r="I42" s="15" t="n"/>
    </row>
    <row r="43">
      <c r="A43" s="2" t="inlineStr"/>
      <c r="B43" s="15" t="n"/>
      <c r="D43" s="2" t="inlineStr">
        <is>
          <t>소속</t>
        </is>
      </c>
      <c r="E43" s="15" t="n"/>
      <c r="H43" s="2" t="inlineStr">
        <is>
          <t>상해정도</t>
        </is>
      </c>
      <c r="I43" s="15" t="n"/>
    </row>
    <row r="44">
      <c r="A44" s="2" t="inlineStr">
        <is>
          <t>사고경위</t>
        </is>
      </c>
      <c r="B44" s="15" t="n"/>
    </row>
    <row r="45">
      <c r="A45" s="2" t="inlineStr">
        <is>
          <t>조치사항</t>
        </is>
      </c>
      <c r="B45" s="15" t="n"/>
    </row>
    <row r="46">
      <c r="A46" s="2" t="inlineStr">
        <is>
          <t>재발방지</t>
        </is>
      </c>
      <c r="B46" s="15" t="n"/>
    </row>
  </sheetData>
  <mergeCells count="13">
    <mergeCell ref="B45:K45"/>
    <mergeCell ref="E42:G42"/>
    <mergeCell ref="B46:K46"/>
    <mergeCell ref="I42:K42"/>
    <mergeCell ref="A24:K24"/>
    <mergeCell ref="A33:K33"/>
    <mergeCell ref="A41:K41"/>
    <mergeCell ref="B44:K44"/>
    <mergeCell ref="I43:K43"/>
    <mergeCell ref="A5:K5"/>
    <mergeCell ref="A14:K14"/>
    <mergeCell ref="E43:G43"/>
    <mergeCell ref="A1:K1"/>
  </mergeCells>
  <dataValidations count="2">
    <dataValidation sqref="D16 D17 D18 D19 D20 D21 D22" showDropDown="0" showInputMessage="0" showErrorMessage="0" allowBlank="1" type="list">
      <formula1>"상,중,하"</formula1>
    </dataValidation>
    <dataValidation sqref="H3" showDropDown="0" showInputMessage="0" showErrorMessage="0" allowBlank="1" type="list">
      <formula1>"무재해,경상(1일이상),중경상(3일이상),중상(8일이상),중대재해,사망"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8" customWidth="1" min="10" max="10"/>
    <col width="16" customWidth="1" min="11" max="11"/>
  </cols>
  <sheetData>
    <row r="1">
      <c r="A1" s="1" t="inlineStr">
        <is>
          <t>품질담당 일일 품질관리 일지</t>
        </is>
      </c>
    </row>
    <row r="3">
      <c r="A3" s="2" t="inlineStr">
        <is>
          <t>작성자</t>
        </is>
      </c>
      <c r="B3" s="9" t="inlineStr">
        <is>
          <t>품질팀 송과장</t>
        </is>
      </c>
      <c r="D3" s="2" t="inlineStr">
        <is>
          <t>작성일자</t>
        </is>
      </c>
      <c r="E3" s="9" t="inlineStr">
        <is>
          <t>2028-06-15</t>
        </is>
      </c>
      <c r="G3" s="2" t="inlineStr">
        <is>
          <t>감리</t>
        </is>
      </c>
      <c r="H3" s="9" t="inlineStr">
        <is>
          <t>홍팀장</t>
        </is>
      </c>
      <c r="J3" s="2" t="inlineStr">
        <is>
          <t>공사부장</t>
        </is>
      </c>
      <c r="K3" s="9" t="inlineStr">
        <is>
          <t>박부장</t>
        </is>
      </c>
    </row>
    <row r="5">
      <c r="A5" s="4" t="inlineStr">
        <is>
          <t>① 검측 요청 / 결과</t>
        </is>
      </c>
    </row>
    <row r="6" ht="30" customHeight="1">
      <c r="A6" s="4" t="inlineStr">
        <is>
          <t>검측번호</t>
        </is>
      </c>
      <c r="B6" s="4" t="inlineStr">
        <is>
          <t>공종</t>
        </is>
      </c>
      <c r="C6" s="4" t="inlineStr">
        <is>
          <t>검측종류</t>
        </is>
      </c>
      <c r="D6" s="4" t="inlineStr">
        <is>
          <t>위치</t>
        </is>
      </c>
      <c r="E6" s="4" t="inlineStr">
        <is>
          <t>요청시간</t>
        </is>
      </c>
      <c r="F6" s="4" t="inlineStr">
        <is>
          <t>실시시간</t>
        </is>
      </c>
      <c r="G6" s="4" t="inlineStr">
        <is>
          <t>검측자</t>
        </is>
      </c>
      <c r="H6" s="4" t="inlineStr">
        <is>
          <t>판정</t>
        </is>
      </c>
      <c r="I6" s="4" t="inlineStr">
        <is>
          <t>불량건수</t>
        </is>
      </c>
      <c r="J6" s="4" t="inlineStr">
        <is>
          <t>조치</t>
        </is>
      </c>
      <c r="K6" s="4" t="inlineStr">
        <is>
          <t>비고</t>
        </is>
      </c>
    </row>
    <row r="7">
      <c r="A7" s="10" t="inlineStr">
        <is>
          <t>I-280615-01</t>
        </is>
      </c>
      <c r="B7" s="10" t="inlineStr">
        <is>
          <t>건축</t>
        </is>
      </c>
      <c r="C7" s="10" t="inlineStr">
        <is>
          <t>지하 골조 콘크리트 타설검사</t>
        </is>
      </c>
      <c r="D7" s="10" t="inlineStr">
        <is>
          <t>B2층 3~5축</t>
        </is>
      </c>
      <c r="E7" s="10" t="inlineStr">
        <is>
          <t>08:30</t>
        </is>
      </c>
      <c r="F7" s="10" t="inlineStr">
        <is>
          <t>09:00</t>
        </is>
      </c>
      <c r="G7" s="10" t="inlineStr">
        <is>
          <t>홍팀장</t>
        </is>
      </c>
      <c r="H7" s="10" t="inlineStr">
        <is>
          <t>합격</t>
        </is>
      </c>
      <c r="I7" s="10" t="n">
        <v>0</v>
      </c>
      <c r="J7" s="9" t="inlineStr">
        <is>
          <t>정상</t>
        </is>
      </c>
      <c r="K7" s="9" t="inlineStr"/>
    </row>
    <row r="8">
      <c r="A8" s="10" t="inlineStr">
        <is>
          <t>I-280615-02</t>
        </is>
      </c>
      <c r="B8" s="10" t="inlineStr">
        <is>
          <t>기계설비</t>
        </is>
      </c>
      <c r="C8" s="10" t="inlineStr">
        <is>
          <t>슬리브 설치검사</t>
        </is>
      </c>
      <c r="D8" s="10" t="inlineStr">
        <is>
          <t>B1층 천장</t>
        </is>
      </c>
      <c r="E8" s="10" t="inlineStr">
        <is>
          <t>10:00</t>
        </is>
      </c>
      <c r="F8" s="10" t="inlineStr">
        <is>
          <t>10:30</t>
        </is>
      </c>
      <c r="G8" s="10" t="inlineStr">
        <is>
          <t>박부장</t>
        </is>
      </c>
      <c r="H8" s="10" t="inlineStr">
        <is>
          <t>재검측</t>
        </is>
      </c>
      <c r="I8" s="10" t="n">
        <v>2</v>
      </c>
      <c r="J8" s="9" t="inlineStr">
        <is>
          <t>위치 재조정</t>
        </is>
      </c>
      <c r="K8" s="9" t="inlineStr">
        <is>
          <t>16:00 재검 예정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9" t="n"/>
      <c r="K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9" t="n"/>
      <c r="K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9" t="n"/>
      <c r="K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9" t="n"/>
      <c r="K12" s="9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9" t="n"/>
      <c r="K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9" t="n"/>
      <c r="K14" s="9" t="n"/>
    </row>
    <row r="16">
      <c r="A16" s="4" t="inlineStr">
        <is>
          <t>② 콘크리트 타설 기록 (해당시)</t>
        </is>
      </c>
    </row>
    <row r="17" ht="30" customHeight="1">
      <c r="A17" s="4" t="inlineStr">
        <is>
          <t>타설번호</t>
        </is>
      </c>
      <c r="B17" s="4" t="inlineStr">
        <is>
          <t>위치</t>
        </is>
      </c>
      <c r="C17" s="4" t="inlineStr">
        <is>
          <t>배합강도</t>
        </is>
      </c>
      <c r="D17" s="4" t="inlineStr">
        <is>
          <t>슬럼프(cm)</t>
        </is>
      </c>
      <c r="E17" s="4" t="inlineStr">
        <is>
          <t>물량(㎥)</t>
        </is>
      </c>
      <c r="F17" s="4" t="inlineStr">
        <is>
          <t>타설 시작</t>
        </is>
      </c>
      <c r="G17" s="4" t="inlineStr">
        <is>
          <t>타설 완료</t>
        </is>
      </c>
      <c r="H17" s="4" t="inlineStr">
        <is>
          <t>타설 인원</t>
        </is>
      </c>
      <c r="I17" s="4" t="inlineStr">
        <is>
          <t>양생 시작</t>
        </is>
      </c>
      <c r="J17" s="4" t="inlineStr">
        <is>
          <t>탈형 예정</t>
        </is>
      </c>
      <c r="K17" s="4" t="inlineStr">
        <is>
          <t>비고</t>
        </is>
      </c>
    </row>
    <row r="18">
      <c r="A18" s="14" t="inlineStr">
        <is>
          <t>C-280615-01</t>
        </is>
      </c>
      <c r="B18" s="14" t="inlineStr">
        <is>
          <t>B2층 3~5축 벽체</t>
        </is>
      </c>
      <c r="C18" s="14" t="inlineStr">
        <is>
          <t>25-24-15</t>
        </is>
      </c>
      <c r="D18" s="14" t="n">
        <v>15</v>
      </c>
      <c r="E18" s="14" t="n">
        <v>25</v>
      </c>
      <c r="F18" s="14" t="inlineStr">
        <is>
          <t>09:30</t>
        </is>
      </c>
      <c r="G18" s="14" t="inlineStr">
        <is>
          <t>13:00</t>
        </is>
      </c>
      <c r="H18" s="14" t="n">
        <v>8</v>
      </c>
      <c r="I18" s="14" t="inlineStr">
        <is>
          <t>13:00</t>
        </is>
      </c>
      <c r="J18" s="14" t="inlineStr">
        <is>
          <t>2028-06-18</t>
        </is>
      </c>
      <c r="K18" s="15" t="inlineStr">
        <is>
          <t>이상없음</t>
        </is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5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5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5" t="n"/>
    </row>
    <row r="23">
      <c r="A23" s="4" t="inlineStr">
        <is>
          <t>③ 시험성적 / 자재 시험 (해당시)</t>
        </is>
      </c>
    </row>
    <row r="24" ht="30" customHeight="1">
      <c r="A24" s="4" t="inlineStr">
        <is>
          <t>시험번호</t>
        </is>
      </c>
      <c r="B24" s="4" t="inlineStr">
        <is>
          <t>자재명</t>
        </is>
      </c>
      <c r="C24" s="4" t="inlineStr">
        <is>
          <t>시험종류</t>
        </is>
      </c>
      <c r="D24" s="4" t="inlineStr">
        <is>
          <t>시료채취일</t>
        </is>
      </c>
      <c r="E24" s="4" t="inlineStr">
        <is>
          <t>시험일</t>
        </is>
      </c>
      <c r="F24" s="4" t="inlineStr">
        <is>
          <t>기준값</t>
        </is>
      </c>
      <c r="G24" s="4" t="inlineStr">
        <is>
          <t>측정값</t>
        </is>
      </c>
      <c r="H24" s="4" t="inlineStr">
        <is>
          <t>판정</t>
        </is>
      </c>
      <c r="I24" s="4" t="inlineStr">
        <is>
          <t>시험기관</t>
        </is>
      </c>
      <c r="J24" s="4" t="inlineStr">
        <is>
          <t>성적서</t>
        </is>
      </c>
      <c r="K24" s="4" t="inlineStr">
        <is>
          <t>비고</t>
        </is>
      </c>
    </row>
    <row r="25">
      <c r="A25" s="14" t="inlineStr">
        <is>
          <t>T-280615-01</t>
        </is>
      </c>
      <c r="B25" s="14" t="inlineStr">
        <is>
          <t>레미콘 25-24-15</t>
        </is>
      </c>
      <c r="C25" s="14" t="inlineStr">
        <is>
          <t>압축강도(7일)</t>
        </is>
      </c>
      <c r="D25" s="14" t="inlineStr">
        <is>
          <t>2028-06-08</t>
        </is>
      </c>
      <c r="E25" s="14" t="inlineStr">
        <is>
          <t>2028-06-15</t>
        </is>
      </c>
      <c r="F25" s="14" t="inlineStr">
        <is>
          <t>≥17.5MPa</t>
        </is>
      </c>
      <c r="G25" s="14" t="inlineStr">
        <is>
          <t>21.3MPa</t>
        </is>
      </c>
      <c r="H25" s="14" t="inlineStr">
        <is>
          <t>합격</t>
        </is>
      </c>
      <c r="I25" s="14" t="inlineStr">
        <is>
          <t>한국시험원</t>
        </is>
      </c>
      <c r="J25" s="14" t="inlineStr">
        <is>
          <t>수령</t>
        </is>
      </c>
      <c r="K25" s="15" t="inlineStr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5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5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5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5" t="n"/>
    </row>
    <row r="31">
      <c r="A31" s="4" t="inlineStr">
        <is>
          <t>④ 부적합 사항 / 재시공 (해당시)</t>
        </is>
      </c>
    </row>
    <row r="32" ht="30" customHeight="1">
      <c r="A32" s="4" t="inlineStr">
        <is>
          <t>NCR번호</t>
        </is>
      </c>
      <c r="B32" s="4" t="inlineStr">
        <is>
          <t>공종</t>
        </is>
      </c>
      <c r="C32" s="4" t="inlineStr">
        <is>
          <t>위치</t>
        </is>
      </c>
      <c r="D32" s="4" t="inlineStr">
        <is>
          <t>부적합 내용</t>
        </is>
      </c>
      <c r="E32" s="4" t="inlineStr">
        <is>
          <t>재시공 물량</t>
        </is>
      </c>
      <c r="F32" s="4" t="inlineStr">
        <is>
          <t>발견일</t>
        </is>
      </c>
      <c r="G32" s="4" t="inlineStr">
        <is>
          <t>조치완료일</t>
        </is>
      </c>
      <c r="H32" s="4" t="inlineStr">
        <is>
          <t>책임자</t>
        </is>
      </c>
      <c r="I32" s="4" t="inlineStr">
        <is>
          <t>비용추가</t>
        </is>
      </c>
      <c r="J32" s="4" t="inlineStr">
        <is>
          <t>결과</t>
        </is>
      </c>
      <c r="K32" s="4" t="inlineStr">
        <is>
          <t>비고</t>
        </is>
      </c>
    </row>
    <row r="33">
      <c r="A33" s="14" t="n"/>
      <c r="B33" s="14" t="n"/>
      <c r="C33" s="14" t="n"/>
      <c r="D33" s="15" t="n"/>
      <c r="E33" s="14" t="n"/>
      <c r="F33" s="14" t="n"/>
      <c r="G33" s="14" t="n"/>
      <c r="H33" s="14" t="n"/>
      <c r="I33" s="14" t="n"/>
      <c r="J33" s="14" t="n"/>
      <c r="K33" s="15" t="n"/>
    </row>
    <row r="34">
      <c r="A34" s="14" t="n"/>
      <c r="B34" s="14" t="n"/>
      <c r="C34" s="14" t="n"/>
      <c r="D34" s="15" t="n"/>
      <c r="E34" s="14" t="n"/>
      <c r="F34" s="14" t="n"/>
      <c r="G34" s="14" t="n"/>
      <c r="H34" s="14" t="n"/>
      <c r="I34" s="14" t="n"/>
      <c r="J34" s="14" t="n"/>
      <c r="K34" s="15" t="n"/>
    </row>
    <row r="35">
      <c r="A35" s="14" t="n"/>
      <c r="B35" s="14" t="n"/>
      <c r="C35" s="14" t="n"/>
      <c r="D35" s="15" t="n"/>
      <c r="E35" s="14" t="n"/>
      <c r="F35" s="14" t="n"/>
      <c r="G35" s="14" t="n"/>
      <c r="H35" s="14" t="n"/>
      <c r="I35" s="14" t="n"/>
      <c r="J35" s="14" t="n"/>
      <c r="K35" s="15" t="n"/>
    </row>
    <row r="36">
      <c r="A36" s="14" t="n"/>
      <c r="B36" s="14" t="n"/>
      <c r="C36" s="14" t="n"/>
      <c r="D36" s="15" t="n"/>
      <c r="E36" s="14" t="n"/>
      <c r="F36" s="14" t="n"/>
      <c r="G36" s="14" t="n"/>
      <c r="H36" s="14" t="n"/>
      <c r="I36" s="14" t="n"/>
      <c r="J36" s="14" t="n"/>
      <c r="K36" s="15" t="n"/>
    </row>
    <row r="37">
      <c r="A37" s="14" t="n"/>
      <c r="B37" s="14" t="n"/>
      <c r="C37" s="14" t="n"/>
      <c r="D37" s="15" t="n"/>
      <c r="E37" s="14" t="n"/>
      <c r="F37" s="14" t="n"/>
      <c r="G37" s="14" t="n"/>
      <c r="H37" s="14" t="n"/>
      <c r="I37" s="14" t="n"/>
      <c r="J37" s="14" t="n"/>
      <c r="K37" s="15" t="n"/>
    </row>
  </sheetData>
  <mergeCells count="5">
    <mergeCell ref="A16:K16"/>
    <mergeCell ref="A5:K5"/>
    <mergeCell ref="A1:K1"/>
    <mergeCell ref="A23:K23"/>
    <mergeCell ref="A31:K31"/>
  </mergeCells>
  <dataValidations count="1">
    <dataValidation sqref="H7 H8 H9 H10 H11 H12 H13 H14 H25 H26 H27 H28 H29" showDropDown="0" showInputMessage="0" showErrorMessage="0" allowBlank="1" type="list">
      <formula1>"합격,불합격,재검측,조건부합격"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</cols>
  <sheetData>
    <row r="1">
      <c r="A1" s="1" t="inlineStr">
        <is>
          <t>현장 종합 일보 (소장 확인용)</t>
        </is>
      </c>
    </row>
    <row r="3">
      <c r="A3" s="2" t="inlineStr">
        <is>
          <t>작성일자</t>
        </is>
      </c>
      <c r="B3" s="9" t="inlineStr">
        <is>
          <t>2028-06-15 (목)</t>
        </is>
      </c>
      <c r="D3" s="2" t="inlineStr">
        <is>
          <t>확인자</t>
        </is>
      </c>
      <c r="E3" s="9" t="inlineStr">
        <is>
          <t>박상무 (현장소장)</t>
        </is>
      </c>
      <c r="G3" s="2" t="inlineStr">
        <is>
          <t>확인시각</t>
        </is>
      </c>
      <c r="H3" s="9" t="inlineStr">
        <is>
          <t>19:00</t>
        </is>
      </c>
    </row>
    <row r="5">
      <c r="A5" s="4" t="inlineStr">
        <is>
          <t>📊 당일 핵심 지표 요약</t>
        </is>
      </c>
    </row>
    <row r="6" ht="30" customHeight="1">
      <c r="A6" s="4" t="inlineStr">
        <is>
          <t>구분</t>
        </is>
      </c>
      <c r="B6" s="4" t="inlineStr">
        <is>
          <t>계획</t>
        </is>
      </c>
      <c r="C6" s="4" t="inlineStr">
        <is>
          <t>실적</t>
        </is>
      </c>
      <c r="D6" s="4" t="inlineStr">
        <is>
          <t>달성률</t>
        </is>
      </c>
      <c r="E6" s="4" t="inlineStr">
        <is>
          <t>누계 계획</t>
        </is>
      </c>
      <c r="F6" s="4" t="inlineStr">
        <is>
          <t>누계 실적</t>
        </is>
      </c>
      <c r="G6" s="4" t="inlineStr">
        <is>
          <t>누계 달성률</t>
        </is>
      </c>
      <c r="H6" s="4" t="inlineStr">
        <is>
          <t>상태</t>
        </is>
      </c>
      <c r="I6" s="4" t="inlineStr">
        <is>
          <t>비고</t>
        </is>
      </c>
    </row>
    <row r="7">
      <c r="A7" s="10" t="inlineStr">
        <is>
          <t>건축 (㎡)</t>
        </is>
      </c>
      <c r="B7" s="10" t="n">
        <v>180</v>
      </c>
      <c r="C7" s="10" t="n">
        <v>155</v>
      </c>
      <c r="D7" s="11">
        <f>IF(B7=0,0,C7/B7*100)</f>
        <v/>
      </c>
      <c r="E7" s="10" t="n">
        <v>12500</v>
      </c>
      <c r="F7" s="10" t="n">
        <v>11800</v>
      </c>
      <c r="G7" s="11">
        <f>IF(E7="",0,IF(E7=0,0,F7/E7*100))</f>
        <v/>
      </c>
      <c r="H7" s="12">
        <f>IF(D7=0,"-",IF(D7&gt;=95,"우수",IF(D7&gt;=80,"정상",IF(D7&gt;=60,"부진","위험"))))</f>
        <v/>
      </c>
      <c r="I7" s="9" t="inlineStr">
        <is>
          <t>지상 골조 진행중</t>
        </is>
      </c>
    </row>
    <row r="8">
      <c r="A8" s="10" t="inlineStr">
        <is>
          <t>기계설비 (point)</t>
        </is>
      </c>
      <c r="B8" s="10" t="n">
        <v>110</v>
      </c>
      <c r="C8" s="10" t="n">
        <v>67</v>
      </c>
      <c r="D8" s="11">
        <f>IF(B8=0,0,C8/B8*100)</f>
        <v/>
      </c>
      <c r="E8" s="10" t="n">
        <v>5800</v>
      </c>
      <c r="F8" s="10" t="n">
        <v>5200</v>
      </c>
      <c r="G8" s="11">
        <f>IF(E8="",0,IF(E8=0,0,F8/E8*100))</f>
        <v/>
      </c>
      <c r="H8" s="12">
        <f>IF(D8=0,"-",IF(D8&gt;=95,"우수",IF(D8&gt;=80,"정상",IF(D8&gt;=60,"부진","위험"))))</f>
        <v/>
      </c>
      <c r="I8" s="9" t="inlineStr">
        <is>
          <t>STS 자재 부족</t>
        </is>
      </c>
    </row>
    <row r="9">
      <c r="A9" s="10" t="inlineStr">
        <is>
          <t>전기설비 (point)</t>
        </is>
      </c>
      <c r="B9" s="10" t="n">
        <v>60</v>
      </c>
      <c r="C9" s="10" t="n">
        <v>55</v>
      </c>
      <c r="D9" s="11">
        <f>IF(B9=0,0,C9/B9*100)</f>
        <v/>
      </c>
      <c r="E9" s="10" t="n">
        <v>3200</v>
      </c>
      <c r="F9" s="10" t="n">
        <v>2950</v>
      </c>
      <c r="G9" s="11">
        <f>IF(E9="",0,IF(E9=0,0,F9/E9*100))</f>
        <v/>
      </c>
      <c r="H9" s="12">
        <f>IF(D9=0,"-",IF(D9&gt;=95,"우수",IF(D9&gt;=80,"정상",IF(D9&gt;=60,"부진","위험"))))</f>
        <v/>
      </c>
      <c r="I9" s="9" t="inlineStr">
        <is>
          <t>정상</t>
        </is>
      </c>
    </row>
    <row r="10">
      <c r="A10" s="10" t="inlineStr">
        <is>
          <t>소방설비 (point)</t>
        </is>
      </c>
      <c r="B10" s="10" t="n">
        <v>40</v>
      </c>
      <c r="C10" s="10" t="n">
        <v>38</v>
      </c>
      <c r="D10" s="11">
        <f>IF(B10=0,0,C10/B10*100)</f>
        <v/>
      </c>
      <c r="E10" s="10" t="n">
        <v>2100</v>
      </c>
      <c r="F10" s="10" t="n">
        <v>1980</v>
      </c>
      <c r="G10" s="11">
        <f>IF(E10="",0,IF(E10=0,0,F10/E10*100))</f>
        <v/>
      </c>
      <c r="H10" s="12">
        <f>IF(D10=0,"-",IF(D10&gt;=95,"우수",IF(D10&gt;=80,"정상",IF(D10&gt;=60,"부진","위험"))))</f>
        <v/>
      </c>
      <c r="I10" s="9" t="inlineStr">
        <is>
          <t>정상</t>
        </is>
      </c>
    </row>
    <row r="11">
      <c r="A11" s="10" t="inlineStr">
        <is>
          <t>투입 인원 (명)</t>
        </is>
      </c>
      <c r="B11" s="10" t="n">
        <v>50</v>
      </c>
      <c r="C11" s="10" t="n">
        <v>47</v>
      </c>
      <c r="D11" s="12" t="n"/>
      <c r="E11" s="10" t="n"/>
      <c r="F11" s="10" t="n"/>
      <c r="G11" s="12" t="n"/>
      <c r="H11" s="12" t="n"/>
      <c r="I11" s="9" t="inlineStr">
        <is>
          <t>협력 3개사</t>
        </is>
      </c>
    </row>
    <row r="12">
      <c r="A12" s="10" t="inlineStr">
        <is>
          <t>안전사고 (건)</t>
        </is>
      </c>
      <c r="B12" s="10" t="n">
        <v>0</v>
      </c>
      <c r="C12" s="10" t="n">
        <v>0</v>
      </c>
      <c r="D12" s="12" t="inlineStr">
        <is>
          <t>-</t>
        </is>
      </c>
      <c r="E12" s="10" t="n"/>
      <c r="F12" s="10" t="n"/>
      <c r="G12" s="12" t="inlineStr">
        <is>
          <t>-</t>
        </is>
      </c>
      <c r="H12" s="12" t="inlineStr">
        <is>
          <t>무재해</t>
        </is>
      </c>
      <c r="I12" s="9" t="inlineStr">
        <is>
          <t>47일차</t>
        </is>
      </c>
    </row>
    <row r="14">
      <c r="A14" s="4" t="inlineStr">
        <is>
          <t>🚨 주요 이슈 / 의사결정 필요 사항</t>
        </is>
      </c>
    </row>
    <row r="15" ht="30" customHeight="1">
      <c r="A15" s="4" t="inlineStr">
        <is>
          <t>우선순위</t>
        </is>
      </c>
      <c r="B15" s="4" t="inlineStr">
        <is>
          <t>구분</t>
        </is>
      </c>
      <c r="C15" s="4" t="inlineStr">
        <is>
          <t>내용</t>
        </is>
      </c>
      <c r="D15" s="4" t="inlineStr">
        <is>
          <t>영향</t>
        </is>
      </c>
      <c r="E15" s="4" t="inlineStr">
        <is>
          <t>필요 의사결정</t>
        </is>
      </c>
      <c r="F15" s="4" t="inlineStr">
        <is>
          <t>기한</t>
        </is>
      </c>
      <c r="G15" s="4" t="inlineStr">
        <is>
          <t>담당</t>
        </is>
      </c>
    </row>
    <row r="16">
      <c r="A16" s="10" t="inlineStr">
        <is>
          <t>긴급</t>
        </is>
      </c>
      <c r="B16" s="10" t="inlineStr">
        <is>
          <t>자재</t>
        </is>
      </c>
      <c r="C16" s="9" t="inlineStr">
        <is>
          <t>철근 HD16 잔량 0.5톤 (최소 2톤 필요)</t>
        </is>
      </c>
      <c r="D16" s="9" t="inlineStr">
        <is>
          <t>내일 배근 작업 차질 우려</t>
        </is>
      </c>
      <c r="E16" s="9" t="inlineStr">
        <is>
          <t>긴급 발주 승인</t>
        </is>
      </c>
      <c r="F16" s="10" t="inlineStr">
        <is>
          <t>2028-06-15</t>
        </is>
      </c>
      <c r="G16" s="10" t="inlineStr">
        <is>
          <t>공무</t>
        </is>
      </c>
    </row>
    <row r="17">
      <c r="A17" s="10" t="inlineStr">
        <is>
          <t>높음</t>
        </is>
      </c>
      <c r="B17" s="10" t="inlineStr">
        <is>
          <t>지연</t>
        </is>
      </c>
      <c r="C17" s="9" t="inlineStr">
        <is>
          <t>위생배관 PD 입상 작업 생산성 42%</t>
        </is>
      </c>
      <c r="D17" s="9" t="inlineStr">
        <is>
          <t>공기 5일 지연 가능성</t>
        </is>
      </c>
      <c r="E17" s="9" t="inlineStr">
        <is>
          <t>협력업체 인력 추가 투입</t>
        </is>
      </c>
      <c r="F17" s="10" t="inlineStr">
        <is>
          <t>2028-06-16</t>
        </is>
      </c>
      <c r="G17" s="10" t="inlineStr">
        <is>
          <t>기계담당</t>
        </is>
      </c>
    </row>
    <row r="18">
      <c r="A18" s="10" t="inlineStr">
        <is>
          <t>중간</t>
        </is>
      </c>
      <c r="B18" s="10" t="inlineStr">
        <is>
          <t>설계변경</t>
        </is>
      </c>
      <c r="C18" s="9" t="inlineStr">
        <is>
          <t>지하주차장 구배 변경 (발주처)</t>
        </is>
      </c>
      <c r="D18" s="9" t="inlineStr">
        <is>
          <t>원가 +5,500만, 공기 +7일</t>
        </is>
      </c>
      <c r="E18" s="9" t="inlineStr">
        <is>
          <t>CO 승인 절차 진행</t>
        </is>
      </c>
      <c r="F18" s="10" t="inlineStr">
        <is>
          <t>2028-06-17</t>
        </is>
      </c>
      <c r="G18" s="10" t="inlineStr">
        <is>
          <t>공무</t>
        </is>
      </c>
    </row>
    <row r="19">
      <c r="A19" s="14" t="n"/>
      <c r="B19" s="14" t="n"/>
      <c r="C19" s="15" t="n"/>
      <c r="D19" s="15" t="n"/>
      <c r="E19" s="15" t="n"/>
      <c r="F19" s="14" t="n"/>
      <c r="G19" s="14" t="n"/>
    </row>
    <row r="20">
      <c r="A20" s="14" t="n"/>
      <c r="B20" s="14" t="n"/>
      <c r="C20" s="15" t="n"/>
      <c r="D20" s="15" t="n"/>
      <c r="E20" s="15" t="n"/>
      <c r="F20" s="14" t="n"/>
      <c r="G20" s="14" t="n"/>
    </row>
    <row r="21">
      <c r="A21" s="14" t="n"/>
      <c r="B21" s="14" t="n"/>
      <c r="C21" s="15" t="n"/>
      <c r="D21" s="15" t="n"/>
      <c r="E21" s="15" t="n"/>
      <c r="F21" s="14" t="n"/>
      <c r="G21" s="14" t="n"/>
    </row>
    <row r="22">
      <c r="A22" s="14" t="n"/>
      <c r="B22" s="14" t="n"/>
      <c r="C22" s="15" t="n"/>
      <c r="D22" s="15" t="n"/>
      <c r="E22" s="15" t="n"/>
      <c r="F22" s="14" t="n"/>
      <c r="G22" s="14" t="n"/>
    </row>
    <row r="24">
      <c r="A24" s="4" t="inlineStr">
        <is>
          <t>✍️ 현장소장 의견 / 지시사항</t>
        </is>
      </c>
    </row>
    <row r="25" ht="60" customHeight="1">
      <c r="A25" s="16" t="inlineStr">
        <is>
          <t>1) 철근 HD16 긴급 발주 즉시 진행 (공무팀장 책임)
2) 위생배관 협력업체 안전관리자와 협의하여 인력 보강 검토
3) 발주처 설계변경 건은 본사 협의 후 CO 처리</t>
        </is>
      </c>
    </row>
    <row r="26"/>
    <row r="27"/>
    <row r="29">
      <c r="A29" s="2" t="inlineStr">
        <is>
          <t>공무</t>
        </is>
      </c>
      <c r="D29" s="2" t="inlineStr">
        <is>
          <t>공사부장</t>
        </is>
      </c>
      <c r="G29" s="2" t="inlineStr">
        <is>
          <t>현장소장</t>
        </is>
      </c>
    </row>
    <row r="30" ht="50" customHeight="1">
      <c r="A30" s="3" t="n"/>
      <c r="D30" s="3" t="n"/>
      <c r="G30" s="3" t="n"/>
    </row>
    <row r="31"/>
    <row r="32"/>
  </sheetData>
  <mergeCells count="11">
    <mergeCell ref="D29:F29"/>
    <mergeCell ref="A5:I5"/>
    <mergeCell ref="A30:C32"/>
    <mergeCell ref="A14:I14"/>
    <mergeCell ref="D30:F32"/>
    <mergeCell ref="A1:I1"/>
    <mergeCell ref="G30:I32"/>
    <mergeCell ref="G29:I29"/>
    <mergeCell ref="A29:C29"/>
    <mergeCell ref="A25:I27"/>
    <mergeCell ref="A24:I24"/>
  </mergeCells>
  <dataValidations count="2">
    <dataValidation sqref="A16 A17 A18 A19 A20 A21 A22" showDropDown="0" showInputMessage="0" showErrorMessage="0" allowBlank="1" type="list">
      <formula1>"긴급,높음,중간,낮음"</formula1>
    </dataValidation>
    <dataValidation sqref="B16 B17 B18 B19 B20 B21 B22" showDropDown="0" showInputMessage="0" showErrorMessage="0" allowBlank="1" type="list">
      <formula1>"자재,지연,설계변경,안전,품질,인력,장비,기상,발주처,기타"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2026-05-22T06:10:59Z</dcterms:created>
  <dcterms:modified xsi:type="dcterms:W3CDTF">2026-05-22T06:10:59Z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cxIiwibG9nVGltZSI6IjIwMjYtMDUtMjJUMDg6Mjc6MjZaIiwicElEIjoyNTcsInByb2Nlc3NJZCI6MTgwMDgsInByb2Nlc3NOYW1lIjoiZlN5bmNDbGllbnQuZXhlIiwidHJhY2VJZCI6IjlDOUEwREY5ODhENTQ4RTU5ODI0NzYyMTdENkE3MDc5IiwidXNlckNvZGUiOiIxOTMwMDM0In0sIm5vZGUyIjp7ImRzZCI6IjAxMDAwMDAwMDAwMDI0NzEiLCJsb2dUaW1lIjoiMjAyNi0wNS0yMlQwODoyNzoyNloiLCJwSUQiOjI1NywicHJvY2Vzc0lkIjoxODAwOCwicHJvY2Vzc05hbWUiOiJmU3luY0NsaWVudC5leGUiLCJ0cmFjZUlkIjoiOUM5QTBERjk4OEQ1NDhFNTk4MjQ3NjIxN0Q2QTcwNzkiLCJ1c2VyQ29kZSI6IjE5MzAwMzQifSwibm9kZTMiOnsiZHNkIjoiMDEwMDAwMDAwMDAwMjQ3MSIsImxvZ1RpbWUiOiIyMDI2LTA1LTIyVDA4OjI3OjI2WiIsInBJRCI6MjU3LCJwcm9jZXNzSWQiOjE4MDA4LCJwcm9jZXNzTmFtZSI6ImZTeW5jQ2xpZW50LmV4ZSIsInRyYWNlSWQiOiI5QzlBMERGOTg4RDU0OEU1OTgyNDc2MjE3RDZBNzA3OSIsInVzZXJDb2RlIjoiMTkzMDAzNCJ9LCJub2RlNCI6eyJkc2QiOiIwMTAwMDAwMDAwMDAyNDcxIiwibG9nVGltZSI6IjIwMjYtMDUtMjJUMDg6Mjc6MjZaIiwicElEIjoyNTcsInByb2Nlc3NJZCI6MTgwMDgsInByb2Nlc3NOYW1lIjoiZlN5bmNDbGllbnQuZXhlIiwidHJhY2VJZCI6IjlDOUEwREY5ODhENTQ4RTU5ODI0NzYyMTdENkE3MDc5IiwidXNlckNvZGUiOiIxOTMwMDM0In0sIm5vZGU1Ijp7ImRzZCI6IjAwMDAwMDAwMDAwMDAwMDAiLCJsb2dUaW1lIjoiMjAyNi0wNS0yMlQwODoyNzozOVoiLCJwSUQiOjIwNDgsInByb2Nlc3NJZCI6MTgwMDgsInByb2Nlc3NOYW1lIjoiZlN5bmNDbGllbnQuZXhlIiwidHJhY2VJZCI6IkY3NTg2NzYzMEI1NDQ4OUJCRkNDNDE3QzdDODM0OEUzIiwidXNlckNvZGUiOiIxOTMwMDM0In0sIm5vZGVDb3VudCI6Miwicm9vdFRyYWNlSWQiOiI5QzlBMERGOTg4RDU0OEU1OTgyNDc2MjE3RDZBNzA3OSJ9</vt:lpwstr>
  </property>
</Properties>
</file>